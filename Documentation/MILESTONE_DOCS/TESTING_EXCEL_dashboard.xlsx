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fosys_project\PRICEPILOT_AI\Documentation\MILESTONE_DOCS\"/>
    </mc:Choice>
  </mc:AlternateContent>
  <xr:revisionPtr revIDLastSave="0" documentId="13_ncr:20001_{E3B33A8C-DC4D-419B-A2AC-D3D5E8E74327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Dashboard" sheetId="2" r:id="rId1"/>
    <sheet name="API Test Log" sheetId="3" r:id="rId2"/>
    <sheet name="Test Cases" sheetId="4" r:id="rId3"/>
    <sheet name="Read Me" sheetId="1" r:id="rId4"/>
    <sheet name="Testing Guide" sheetId="6" r:id="rId5"/>
  </sheets>
  <definedNames>
    <definedName name="_xlnm._FilterDatabase" localSheetId="1" hidden="1">'API Test Log'!$A$4:$I$41</definedName>
    <definedName name="_xlnm.Print_Area" localSheetId="1">'API Test Log'!$G$6:$I$46</definedName>
    <definedName name="_xlnm.Print_Titles" localSheetId="1">'API Test Log'!$1:$4</definedName>
    <definedName name="_xlnm.Print_Titles" localSheetId="2">'Test Cases'!$1:$3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1" i="2" l="1"/>
  <c r="I21" i="2"/>
  <c r="H21" i="2"/>
  <c r="J20" i="2"/>
  <c r="I20" i="2"/>
  <c r="H20" i="2"/>
  <c r="J19" i="2"/>
  <c r="I19" i="2"/>
  <c r="H19" i="2"/>
  <c r="J18" i="2"/>
  <c r="I18" i="2"/>
  <c r="H18" i="2"/>
  <c r="J17" i="2"/>
  <c r="I17" i="2"/>
  <c r="H17" i="2"/>
  <c r="J16" i="2"/>
  <c r="I16" i="2"/>
  <c r="H16" i="2"/>
  <c r="E16" i="2"/>
  <c r="B16" i="2"/>
  <c r="J15" i="2"/>
  <c r="I15" i="2"/>
  <c r="H15" i="2"/>
  <c r="E15" i="2"/>
  <c r="B15" i="2"/>
  <c r="J14" i="2"/>
  <c r="I14" i="2"/>
  <c r="H14" i="2"/>
  <c r="E14" i="2"/>
  <c r="B14" i="2"/>
  <c r="J13" i="2"/>
  <c r="I13" i="2"/>
  <c r="H13" i="2"/>
  <c r="E13" i="2"/>
  <c r="B13" i="2"/>
  <c r="J12" i="2"/>
  <c r="I12" i="2"/>
  <c r="H12" i="2"/>
  <c r="E12" i="2"/>
  <c r="B12" i="2"/>
  <c r="J8" i="2"/>
  <c r="G8" i="2"/>
  <c r="D8" i="2"/>
  <c r="A8" i="2"/>
  <c r="J5" i="2"/>
  <c r="G5" i="2"/>
  <c r="D5" i="2"/>
  <c r="A5" i="2"/>
</calcChain>
</file>

<file path=xl/sharedStrings.xml><?xml version="1.0" encoding="utf-8"?>
<sst xmlns="http://schemas.openxmlformats.org/spreadsheetml/2006/main" count="738" uniqueCount="416">
  <si>
    <t>PRICEPILOT AI | TEST PROGRESS WORKBOOK</t>
  </si>
  <si>
    <t>Purpose</t>
  </si>
  <si>
    <t>Track endpoint execution, functional test cases, defects, and project test progress in one Excel workbook.</t>
  </si>
  <si>
    <t>1. Start here</t>
  </si>
  <si>
    <t>Open Dashboard first. It summarizes the status in API Test Log and Test Cases.</t>
  </si>
  <si>
    <t>2. API Test Log</t>
  </si>
  <si>
    <t>For each endpoint, update Test Status, HTTP Status, Actual Result / Notes, tester, date, duration, and retest status. Yellow cells are intended for input.</t>
  </si>
  <si>
    <t>3. Test Cases</t>
  </si>
  <si>
    <t>Execute the 42 functional, negative, integration, frontend, ML, security, and regression checks. Change Status only after checking expected behavior.</t>
  </si>
  <si>
    <t>4. Defects &amp; Notes</t>
  </si>
  <si>
    <t>Record reproducible failures, severity, ownership, fix, and retest result. Add the Defect ID back to the relevant test row.</t>
  </si>
  <si>
    <t>5. Dashboard</t>
  </si>
  <si>
    <t>Charts and KPIs are formula-driven from the log. They update when statuses are changed in Excel and recalculated.</t>
  </si>
  <si>
    <t>Status meanings</t>
  </si>
  <si>
    <t>Not Run = not executed; Passed = expected behavior verified; Failed = incorrect result; Blocked = unable to test due to dependency; Skipped = intentionally not executed.</t>
  </si>
  <si>
    <t>Evidence rule</t>
  </si>
  <si>
    <t>A 200 response alone is not enough. Verify schema, database side effects, authorization, and business logic.</t>
  </si>
  <si>
    <t>Security warning</t>
  </si>
  <si>
    <t>Never paste passwords, live bearer tokens, API keys, or production personal data into this workbook.</t>
  </si>
  <si>
    <t>Excel note</t>
  </si>
  <si>
    <t>Open in desktop Microsoft Excel with calculation set to Automatic. If charts do not refresh, press Ctrl+Alt+F9 to force recalculation.</t>
  </si>
  <si>
    <t>Important project note</t>
  </si>
  <si>
    <t>The pricing endpoint paths should be verified against the current backend /openapi.json before marking those cases as available; do not infer that a listed path is implemented.</t>
  </si>
  <si>
    <t>PRICEPILOT AI | TEST PROGRESS DASHBOARD</t>
  </si>
  <si>
    <t>Total API Endpoints</t>
  </si>
  <si>
    <t>API Tests Executed</t>
  </si>
  <si>
    <t>API Pass Rate</t>
  </si>
  <si>
    <t>Open API Failures</t>
  </si>
  <si>
    <t>Total Functional Cases</t>
  </si>
  <si>
    <t>Functional Cases Executed</t>
  </si>
  <si>
    <t>Functional Pass Rate</t>
  </si>
  <si>
    <t>Functional Failures</t>
  </si>
  <si>
    <t>API Status</t>
  </si>
  <si>
    <t>Count</t>
  </si>
  <si>
    <t>Functional Status</t>
  </si>
  <si>
    <t>Module</t>
  </si>
  <si>
    <t>Passed</t>
  </si>
  <si>
    <t>Failed</t>
  </si>
  <si>
    <t>Not Run</t>
  </si>
  <si>
    <t>Authentication</t>
  </si>
  <si>
    <t>Users</t>
  </si>
  <si>
    <t>Organizations</t>
  </si>
  <si>
    <t>Blocked</t>
  </si>
  <si>
    <t>Categories</t>
  </si>
  <si>
    <t>Skipped</t>
  </si>
  <si>
    <t>Products</t>
  </si>
  <si>
    <t>Competitors</t>
  </si>
  <si>
    <t>Pricing Engine</t>
  </si>
  <si>
    <t>Sales</t>
  </si>
  <si>
    <t>AI v2</t>
  </si>
  <si>
    <t>System</t>
  </si>
  <si>
    <t>PRICEPILOT AI | DYNAMIC API TEST EXECUTION LOG</t>
  </si>
  <si>
    <t>Test ID</t>
  </si>
  <si>
    <t>Method</t>
  </si>
  <si>
    <t>Endpoint</t>
  </si>
  <si>
    <t>Operation</t>
  </si>
  <si>
    <t>Priority</t>
  </si>
  <si>
    <t>Auth Required</t>
  </si>
  <si>
    <t>Test Status</t>
  </si>
  <si>
    <t>HTTP Status</t>
  </si>
  <si>
    <t>Expected Result</t>
  </si>
  <si>
    <t>API-001</t>
  </si>
  <si>
    <t>POST</t>
  </si>
  <si>
    <t>/api/v1/auth/register</t>
  </si>
  <si>
    <t>register</t>
  </si>
  <si>
    <t>High</t>
  </si>
  <si>
    <t>No / verify route policy</t>
  </si>
  <si>
    <t>200</t>
  </si>
  <si>
    <t>API-002</t>
  </si>
  <si>
    <t>/api/v1/auth/login</t>
  </si>
  <si>
    <t>login</t>
  </si>
  <si>
    <t>API-003</t>
  </si>
  <si>
    <t>/api/v1/auth/token</t>
  </si>
  <si>
    <t>token</t>
  </si>
  <si>
    <t>API-004</t>
  </si>
  <si>
    <t>GET</t>
  </si>
  <si>
    <t>/api/v1/auth/me</t>
  </si>
  <si>
    <t>me</t>
  </si>
  <si>
    <t>Yes</t>
  </si>
  <si>
    <t>API-005</t>
  </si>
  <si>
    <t>/api/v1/users/</t>
  </si>
  <si>
    <t>users</t>
  </si>
  <si>
    <t>Medium</t>
  </si>
  <si>
    <t>API-006</t>
  </si>
  <si>
    <t>/api/v1/users/{user_id}</t>
  </si>
  <si>
    <t>{user_id} (ID-based)</t>
  </si>
  <si>
    <t>API-007</t>
  </si>
  <si>
    <t>PUT</t>
  </si>
  <si>
    <t>API-008</t>
  </si>
  <si>
    <t>/api/v1/organizations/</t>
  </si>
  <si>
    <t>organizations</t>
  </si>
  <si>
    <t>API-009</t>
  </si>
  <si>
    <t>API-010</t>
  </si>
  <si>
    <t>/api/v1/organizations/{org_id}</t>
  </si>
  <si>
    <t>{org_id} (ID-based)</t>
  </si>
  <si>
    <t>API-011</t>
  </si>
  <si>
    <t>/api/v1/organizations/{org_id}/members</t>
  </si>
  <si>
    <t>members (ID-based)</t>
  </si>
  <si>
    <t>API-012</t>
  </si>
  <si>
    <t>/api/v1/categories/</t>
  </si>
  <si>
    <t>categories</t>
  </si>
  <si>
    <t>API-013</t>
  </si>
  <si>
    <t>/api/v1/categories/organization/{org_id}</t>
  </si>
  <si>
    <t>API-014</t>
  </si>
  <si>
    <t>/api/v1/products/</t>
  </si>
  <si>
    <t>products</t>
  </si>
  <si>
    <t>API-015</t>
  </si>
  <si>
    <t>/api/v1/products/organization/{org_id}</t>
  </si>
  <si>
    <t>API-016</t>
  </si>
  <si>
    <t>/api/v1/products/{product_id}</t>
  </si>
  <si>
    <t>{product_id} (ID-based)</t>
  </si>
  <si>
    <t>API-017</t>
  </si>
  <si>
    <t>API-018</t>
  </si>
  <si>
    <t>DELETE</t>
  </si>
  <si>
    <t>API-019</t>
  </si>
  <si>
    <t>/api/v1/products/{product_id}/variants</t>
  </si>
  <si>
    <t>variants (ID-based)</t>
  </si>
  <si>
    <t>API-020</t>
  </si>
  <si>
    <t>/api/v1/products/{product_id}/inventory</t>
  </si>
  <si>
    <t>inventory (ID-based)</t>
  </si>
  <si>
    <t>API-021</t>
  </si>
  <si>
    <t>API-022</t>
  </si>
  <si>
    <t>/api/v1/competitors/</t>
  </si>
  <si>
    <t>competitors</t>
  </si>
  <si>
    <t>API-023</t>
  </si>
  <si>
    <t>/api/v1/competitors/organization/{org_id}</t>
  </si>
  <si>
    <t>API-024</t>
  </si>
  <si>
    <t>/api/v1/competitors/{competitor_id}</t>
  </si>
  <si>
    <t>{competitor_id} (ID-based)</t>
  </si>
  <si>
    <t>API-025</t>
  </si>
  <si>
    <t>/api/v1/competitors/match</t>
  </si>
  <si>
    <t>match</t>
  </si>
  <si>
    <t>API-026</t>
  </si>
  <si>
    <t>/api/v1/competitors/prices</t>
  </si>
  <si>
    <t>prices</t>
  </si>
  <si>
    <t>API-027</t>
  </si>
  <si>
    <t>/api/v1/competitors/product/{product_id}/prices</t>
  </si>
  <si>
    <t>prices (ID-based)</t>
  </si>
  <si>
    <t>API-028</t>
  </si>
  <si>
    <t>/api/v1/pricing/predict</t>
  </si>
  <si>
    <t>predict</t>
  </si>
  <si>
    <t>API-029</t>
  </si>
  <si>
    <t>/api/v1/pricing/recommendations</t>
  </si>
  <si>
    <t>recommendations</t>
  </si>
  <si>
    <t>API-030</t>
  </si>
  <si>
    <t>/api/v1/pricing/recommendations/{recommendation_id}/apply</t>
  </si>
  <si>
    <t>apply (ID-based)</t>
  </si>
  <si>
    <t>API-031</t>
  </si>
  <si>
    <t>/api/v1/pricing/history/{product_id}</t>
  </si>
  <si>
    <t>API-032</t>
  </si>
  <si>
    <t>/api/v1/sales/</t>
  </si>
  <si>
    <t>sales</t>
  </si>
  <si>
    <t>API-033</t>
  </si>
  <si>
    <t>/api/v1/sales/analytics/{organization_id}</t>
  </si>
  <si>
    <t>{organization_id} (ID-based)</t>
  </si>
  <si>
    <t>API-034</t>
  </si>
  <si>
    <t>/api/v2/ai/gemini</t>
  </si>
  <si>
    <t>gemini</t>
  </si>
  <si>
    <t>API-035</t>
  </si>
  <si>
    <t>API-036</t>
  </si>
  <si>
    <t>/api/v2/ai/predict</t>
  </si>
  <si>
    <t>API-037</t>
  </si>
  <si>
    <t>/</t>
  </si>
  <si>
    <t>No</t>
  </si>
  <si>
    <t>/health</t>
  </si>
  <si>
    <t>health</t>
  </si>
  <si>
    <t>PRICEPILOT AI | FUNCTIONAL &amp; END-TO-END TEST CASES</t>
  </si>
  <si>
    <t>Case ID</t>
  </si>
  <si>
    <t>Test Area</t>
  </si>
  <si>
    <t>Scenario</t>
  </si>
  <si>
    <t>Preconditions / Test Data</t>
  </si>
  <si>
    <t>Steps to Execute</t>
  </si>
  <si>
    <t>Actual Result</t>
  </si>
  <si>
    <t>Status</t>
  </si>
  <si>
    <t>Severity</t>
  </si>
  <si>
    <t>TC-001</t>
  </si>
  <si>
    <t>Environment</t>
  </si>
  <si>
    <t>Backend health endpoint</t>
  </si>
  <si>
    <t>Backend running at localhost:8000</t>
  </si>
  <si>
    <t>GET /health in Swagger or browser</t>
  </si>
  <si>
    <t>Healthy response with expected status; service is reachable</t>
  </si>
  <si>
    <t>TC-002</t>
  </si>
  <si>
    <t>OpenAPI documentation loads</t>
  </si>
  <si>
    <t>Backend running</t>
  </si>
  <si>
    <t>Open /docs and inspect listed routes</t>
  </si>
  <si>
    <t>Swagger UI loads and route inventory matches backend OpenAPI</t>
  </si>
  <si>
    <t>TC-003</t>
  </si>
  <si>
    <t>Register valid user</t>
  </si>
  <si>
    <t>Unique test email; valid password</t>
  </si>
  <si>
    <t>POST /api/v1/auth/register with valid schema</t>
  </si>
  <si>
    <t>User is created and response matches schema</t>
  </si>
  <si>
    <t>TC-004</t>
  </si>
  <si>
    <t>Register duplicate email</t>
  </si>
  <si>
    <t>Email already registered</t>
  </si>
  <si>
    <t>Repeat register with same email</t>
  </si>
  <si>
    <t>Clear validation/conflict response; no duplicate user</t>
  </si>
  <si>
    <t>TC-005</t>
  </si>
  <si>
    <t>Login valid credentials</t>
  </si>
  <si>
    <t>Registered test account</t>
  </si>
  <si>
    <t>POST /api/v1/auth/login</t>
  </si>
  <si>
    <t>Token returned according to schema</t>
  </si>
  <si>
    <t>TC-006</t>
  </si>
  <si>
    <t>Login invalid password</t>
  </si>
  <si>
    <t>Registered email, wrong password</t>
  </si>
  <si>
    <t>Submit login with wrong password</t>
  </si>
  <si>
    <t>401/403 or documented safe error; no token exposed</t>
  </si>
  <si>
    <t>TC-007</t>
  </si>
  <si>
    <t>Current user with valid token</t>
  </si>
  <si>
    <t>Valid access token</t>
  </si>
  <si>
    <t>GET /api/v1/auth/me with Bearer token</t>
  </si>
  <si>
    <t>Returns the authenticated user</t>
  </si>
  <si>
    <t>TC-008</t>
  </si>
  <si>
    <t>Protected route without token</t>
  </si>
  <si>
    <t>No Authorization header</t>
  </si>
  <si>
    <t>Call protected endpoint without token</t>
  </si>
  <si>
    <t>401/403; no private data returned</t>
  </si>
  <si>
    <t>TC-009</t>
  </si>
  <si>
    <t>Authorization</t>
  </si>
  <si>
    <t>Organization data isolation</t>
  </si>
  <si>
    <t>Two test organizations/users</t>
  </si>
  <si>
    <t>Call org-scoped endpoints as each user</t>
  </si>
  <si>
    <t>User sees only authorized organization data</t>
  </si>
  <si>
    <t>TC-010</t>
  </si>
  <si>
    <t>Create organization</t>
  </si>
  <si>
    <t>Authenticated user and valid payload</t>
  </si>
  <si>
    <t>POST /api/v1/organizations/</t>
  </si>
  <si>
    <t>Organization created and returned</t>
  </si>
  <si>
    <t>TC-011</t>
  </si>
  <si>
    <t>Add organization member</t>
  </si>
  <si>
    <t>Existing org and valid member</t>
  </si>
  <si>
    <t>POST /api/v1/organizations/{org_id}/members</t>
  </si>
  <si>
    <t>Member added with permitted role</t>
  </si>
  <si>
    <t>TC-012</t>
  </si>
  <si>
    <t>Create category</t>
  </si>
  <si>
    <t>Existing authorized organization</t>
  </si>
  <si>
    <t>POST /api/v1/categories/</t>
  </si>
  <si>
    <t>Category created and linked to organization</t>
  </si>
  <si>
    <t>TC-013</t>
  </si>
  <si>
    <t>Create product</t>
  </si>
  <si>
    <t>Valid category and product payload</t>
  </si>
  <si>
    <t>POST /api/v1/products/</t>
  </si>
  <si>
    <t>Product persisted; required fields returned</t>
  </si>
  <si>
    <t>TC-014</t>
  </si>
  <si>
    <t>List products by organization</t>
  </si>
  <si>
    <t>Existing products</t>
  </si>
  <si>
    <t>GET /api/v1/products/organization/{org_id}</t>
  </si>
  <si>
    <t>Only organization products are returned</t>
  </si>
  <si>
    <t>TC-015</t>
  </si>
  <si>
    <t>Update product</t>
  </si>
  <si>
    <t>Existing product ID</t>
  </si>
  <si>
    <t>PUT /api/v1/products/{product_id}</t>
  </si>
  <si>
    <t>Updated values persist and response is valid</t>
  </si>
  <si>
    <t>TC-016</t>
  </si>
  <si>
    <t>Delete product</t>
  </si>
  <si>
    <t>Disposable test product</t>
  </si>
  <si>
    <t>DELETE /api/v1/products/{product_id}</t>
  </si>
  <si>
    <t>Documented success; product no longer appears</t>
  </si>
  <si>
    <t>TC-017</t>
  </si>
  <si>
    <t>Inventory</t>
  </si>
  <si>
    <t>Fetch inventory</t>
  </si>
  <si>
    <t>Existing product</t>
  </si>
  <si>
    <t>GET /api/v1/products/{product_id}/inventory</t>
  </si>
  <si>
    <t>Inventory quantity/status returned</t>
  </si>
  <si>
    <t>TC-018</t>
  </si>
  <si>
    <t>Update inventory</t>
  </si>
  <si>
    <t>Existing product and valid quantity</t>
  </si>
  <si>
    <t>PUT /api/v1/products/{product_id}/inventory</t>
  </si>
  <si>
    <t>Inventory updates; invalid negative quantity rejected if prohibited</t>
  </si>
  <si>
    <t>TC-019</t>
  </si>
  <si>
    <t>Create competitor</t>
  </si>
  <si>
    <t>Valid competitor payload</t>
  </si>
  <si>
    <t>POST /api/v1/competitors/</t>
  </si>
  <si>
    <t>Competitor created in authorized organization</t>
  </si>
  <si>
    <t>TC-020</t>
  </si>
  <si>
    <t>Match competitor product</t>
  </si>
  <si>
    <t>Valid match request and product</t>
  </si>
  <si>
    <t>POST /api/v1/competitors/match</t>
  </si>
  <si>
    <t>Match response follows schema and does not invent listing data</t>
  </si>
  <si>
    <t>TC-021</t>
  </si>
  <si>
    <t>Log competitor price</t>
  </si>
  <si>
    <t>Valid product/competitor/price/date</t>
  </si>
  <si>
    <t>POST /api/v1/competitors/prices</t>
  </si>
  <si>
    <t>Price observation stored and linked correctly</t>
  </si>
  <si>
    <t>TC-022</t>
  </si>
  <si>
    <t>Pricing</t>
  </si>
  <si>
    <t>Price prediction schema validation</t>
  </si>
  <si>
    <t>Valid request body from Swagger schema</t>
  </si>
  <si>
    <t>POST pricing prediction endpoint if listed in OpenAPI</t>
  </si>
  <si>
    <t>Prediction response valid; invalid inputs return 422</t>
  </si>
  <si>
    <t>TC-023</t>
  </si>
  <si>
    <t>Apply pricing recommendation</t>
  </si>
  <si>
    <t>Existing pending recommendation</t>
  </si>
  <si>
    <t>POST /api/v1/pricing/recommendations/{recommendation_id}/apply</t>
  </si>
  <si>
    <t>Recommendation state and price history update correctly</t>
  </si>
  <si>
    <t>TC-024</t>
  </si>
  <si>
    <t>Create sales record</t>
  </si>
  <si>
    <t>Valid product and sale payload</t>
  </si>
  <si>
    <t>POST /api/v1/sales/</t>
  </si>
  <si>
    <t>Sale persisted with valid quantities and amounts</t>
  </si>
  <si>
    <t>TC-025</t>
  </si>
  <si>
    <t>Sales analytics</t>
  </si>
  <si>
    <t>Organization with sales records</t>
  </si>
  <si>
    <t>GET /api/v1/sales/analytics/{organization_id}</t>
  </si>
  <si>
    <t>Aggregates align with stored sales records</t>
  </si>
  <si>
    <t>TC-026</t>
  </si>
  <si>
    <t>AI</t>
  </si>
  <si>
    <t>Gemini endpoint success</t>
  </si>
  <si>
    <t>Valid token if required and valid prompt</t>
  </si>
  <si>
    <t>POST /api/v2/ai/gemini</t>
  </si>
  <si>
    <t>200 response; output is a readable string</t>
  </si>
  <si>
    <t>TC-027</t>
  </si>
  <si>
    <t>Gemini malformed request</t>
  </si>
  <si>
    <t>Missing prompt or invalid types</t>
  </si>
  <si>
    <t>Submit invalid Gemini request</t>
  </si>
  <si>
    <t>422 or documented validation response</t>
  </si>
  <si>
    <t>TC-028</t>
  </si>
  <si>
    <t>Grok endpoint success</t>
  </si>
  <si>
    <t>Valid request schema and provider config</t>
  </si>
  <si>
    <t>POST /api/v2/ai/grok</t>
  </si>
  <si>
    <t>Valid output or clearly handled provider/config error</t>
  </si>
  <si>
    <t>TC-029</t>
  </si>
  <si>
    <t>ML</t>
  </si>
  <si>
    <t>Prediction response shape</t>
  </si>
  <si>
    <t>Valid feature object matching model requirements</t>
  </si>
  <si>
    <t>POST /api/v2/ai/predict</t>
  </si>
  <si>
    <t>Prediction is finite numeric value; model_version and timestamp present</t>
  </si>
  <si>
    <t>TC-030</t>
  </si>
  <si>
    <t>Prediction input validation</t>
  </si>
  <si>
    <t>Missing/extra/wrong-type features</t>
  </si>
  <si>
    <t>Submit malformed feature payload</t>
  </si>
  <si>
    <t>Useful 4xx validation error; no raw stack trace</t>
  </si>
  <si>
    <t>TC-031</t>
  </si>
  <si>
    <t>Prediction repeatability</t>
  </si>
  <si>
    <t>Same valid feature vector and same model version</t>
  </si>
  <si>
    <t>Run same request more than once</t>
  </si>
  <si>
    <t>Results consistent within expected deterministic behavior</t>
  </si>
  <si>
    <t>TC-032</t>
  </si>
  <si>
    <t>Frontend</t>
  </si>
  <si>
    <t>Landing page renders</t>
  </si>
  <si>
    <t>Frontend running on localhost:3000</t>
  </si>
  <si>
    <t>Open root URL and inspect console</t>
  </si>
  <si>
    <t>No fatal React errors; styling and assets load</t>
  </si>
  <si>
    <t>TC-033</t>
  </si>
  <si>
    <t>Undefined icon regression</t>
  </si>
  <si>
    <t>Executive dashboard route</t>
  </si>
  <si>
    <t>Open dashboard and inspect console</t>
  </si>
  <si>
    <t>No ReferenceError such as DollarSign is not defined</t>
  </si>
  <si>
    <t>TC-034</t>
  </si>
  <si>
    <t>API proxy connectivity</t>
  </si>
  <si>
    <t>Frontend and backend running</t>
  </si>
  <si>
    <t>Login and load protected dashboard</t>
  </si>
  <si>
    <t>No ECONNREFUSED; network calls reach backend</t>
  </si>
  <si>
    <t>TC-035</t>
  </si>
  <si>
    <t>Login validation and feedback</t>
  </si>
  <si>
    <t>Valid/invalid credentials</t>
  </si>
  <si>
    <t>Submit login form with both cases</t>
  </si>
  <si>
    <t>Clear success/error feedback; no secrets in UI</t>
  </si>
  <si>
    <t>TC-036</t>
  </si>
  <si>
    <t>Responsive layout</t>
  </si>
  <si>
    <t>Desktop, tablet, mobile viewport</t>
  </si>
  <si>
    <t>Inspect main routes at multiple widths</t>
  </si>
  <si>
    <t>No horizontal overflow; controls remain usable</t>
  </si>
  <si>
    <t>TC-037</t>
  </si>
  <si>
    <t>Dashboard</t>
  </si>
  <si>
    <t>Charts use real API data</t>
  </si>
  <si>
    <t>Organization has known records</t>
  </si>
  <si>
    <t>Compare chart totals with API/database</t>
  </si>
  <si>
    <t>Charts match source data and show empty/error states</t>
  </si>
  <si>
    <t>TC-038</t>
  </si>
  <si>
    <t>Reports</t>
  </si>
  <si>
    <t>PDF report generation</t>
  </si>
  <si>
    <t>Organization has reportable data</t>
  </si>
  <si>
    <t>Generate report for selected period</t>
  </si>
  <si>
    <t>PDF has timestamps, reporting period, correct totals, page numbers</t>
  </si>
  <si>
    <t>TC-039</t>
  </si>
  <si>
    <t>Security</t>
  </si>
  <si>
    <t>No secrets in repository/UI</t>
  </si>
  <si>
    <t>Test env and browser devtools</t>
  </si>
  <si>
    <t>Search repo and browser logs for secrets</t>
  </si>
  <si>
    <t>No API keys/tokens exposed in source or logs</t>
  </si>
  <si>
    <t>TC-040</t>
  </si>
  <si>
    <t>Performance</t>
  </si>
  <si>
    <t>API response timing</t>
  </si>
  <si>
    <t>Local/staging environment</t>
  </si>
  <si>
    <t>Record duration for key read/predict calls</t>
  </si>
  <si>
    <t>Results recorded against project target; no unsupported claim of &lt;50ms</t>
  </si>
  <si>
    <t>TC-041</t>
  </si>
  <si>
    <t>Data Quality</t>
  </si>
  <si>
    <t>Invalid financial values</t>
  </si>
  <si>
    <t>Negative price, discount outside allowed range</t>
  </si>
  <si>
    <t>Submit invalid product/pricing values</t>
  </si>
  <si>
    <t>Invalid values rejected or safely constrained</t>
  </si>
  <si>
    <t>TC-042</t>
  </si>
  <si>
    <t>Regression</t>
  </si>
  <si>
    <t>Run critical workflow</t>
  </si>
  <si>
    <t>User → org → product → competitor price → recommendation</t>
  </si>
  <si>
    <t>Execute linked workflow using test records</t>
  </si>
  <si>
    <t>IDs/relationships remain consistent through workflow</t>
  </si>
  <si>
    <t>PricePilot AI — API Testing Guide</t>
  </si>
  <si>
    <t>Track API endpoint validation based on the supplied Swagger endpoint inventory.</t>
  </si>
  <si>
    <t>How to test</t>
  </si>
  <si>
    <t>Open http://localhost:8000/docs, authorize with a valid bearer token where required, open an endpoint, click Try it out, enter valid request data, then Execute.</t>
  </si>
  <si>
    <t>Use only after the endpoint returns the expected response and the result is checked. HTTP 200 alone does not prove business logic is correct.</t>
  </si>
  <si>
    <t>Pending</t>
  </si>
  <si>
    <t>Endpoint has not been verified in the evidence provided; test it with valid data before changing its status.</t>
  </si>
  <si>
    <t>401 / 403</t>
  </si>
  <si>
    <t>Check bearer token, expiry, permissions, and organization membership.</t>
  </si>
  <si>
    <t>422</t>
  </si>
  <si>
    <t>Check request body, path/query parameters, and the validation response detail.</t>
  </si>
  <si>
    <t>500</t>
  </si>
  <si>
    <t>Inspect backend terminal logs; do not mark the endpoint passed.</t>
  </si>
  <si>
    <t>Important</t>
  </si>
  <si>
    <t>POST/PUT/DELETE endpoints may change database records. Use test data and confirm side effects before testing destructive operations.</t>
  </si>
  <si>
    <t>AI prediction</t>
  </si>
  <si>
    <t>Verify input feature names/types, finite numeric output, timestamp, model version, and compare prediction with a known test case when ground truth is available.</t>
  </si>
  <si>
    <t>Do not store real bearer tokens, passwords, API keys, or secrets in this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</si>
</sst>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10"/>
      <name val="Calibri"/>
    </font>
    <font>
      <b/>
      <sz val="14"/>
      <color rgb="FFFFFFFF"/>
      <name val="Calibri"/>
    </font>
    <font>
      <sz val="10"/>
      <name val="Calibri"/>
    </font>
    <font>
      <b/>
      <sz val="18"/>
      <color rgb="FFFFFFFF"/>
      <name val="Aptos Display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b/>
      <sz val="20"/>
      <color rgb="FFFFFFFF"/>
      <name val="Calibri"/>
    </font>
    <font>
      <b/>
      <sz val="11"/>
      <color rgb="FF17365D"/>
      <name val="Calibri"/>
    </font>
    <font>
      <i/>
      <sz val="11"/>
      <color rgb="FF666666"/>
      <name val="Calibri"/>
    </font>
    <font>
      <b/>
      <sz val="18"/>
      <color rgb="FF17365D"/>
      <name val="Calibri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9E6"/>
      </patternFill>
    </fill>
    <fill>
      <patternFill patternType="solid">
        <fgColor rgb="FFF3F6FA"/>
      </patternFill>
    </fill>
    <fill>
      <patternFill patternType="solid">
        <fgColor rgb="FF4472C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4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11" fillId="3" borderId="0" xfId="0" applyFont="1" applyFill="1"/>
    <xf numFmtId="0" fontId="0" fillId="0" borderId="0" xfId="0" applyAlignment="1">
      <alignment vertical="top" wrapText="1"/>
    </xf>
    <xf numFmtId="0" fontId="8" fillId="2" borderId="0" xfId="0" applyFont="1" applyFill="1"/>
    <xf numFmtId="0" fontId="8" fillId="2" borderId="0" xfId="0" applyFont="1" applyFill="1" applyAlignment="1">
      <alignment horizontal="center" vertical="center" wrapText="1"/>
    </xf>
    <xf numFmtId="0" fontId="0" fillId="5" borderId="0" xfId="0" applyFill="1" applyAlignment="1">
      <alignment vertical="top" wrapText="1"/>
    </xf>
    <xf numFmtId="0" fontId="8" fillId="6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/>
    <xf numFmtId="0" fontId="10" fillId="2" borderId="0" xfId="0" applyFont="1" applyFill="1" applyAlignment="1">
      <alignment vertical="center"/>
    </xf>
    <xf numFmtId="0" fontId="13" fillId="3" borderId="0" xfId="0" applyFont="1" applyFill="1" applyAlignment="1">
      <alignment horizontal="center" vertical="center"/>
    </xf>
    <xf numFmtId="164" fontId="13" fillId="3" borderId="0" xfId="0" applyNumberFormat="1" applyFont="1" applyFill="1" applyAlignment="1">
      <alignment horizontal="center" vertical="center"/>
    </xf>
    <xf numFmtId="0" fontId="8" fillId="6" borderId="0" xfId="0" applyFont="1" applyFill="1" applyAlignment="1">
      <alignment vertical="center" wrapText="1"/>
    </xf>
    <xf numFmtId="0" fontId="12" fillId="0" borderId="0" xfId="0" applyFont="1" applyAlignment="1">
      <alignment wrapText="1"/>
    </xf>
    <xf numFmtId="0" fontId="6" fillId="2" borderId="0" xfId="0" applyFont="1" applyFill="1" applyAlignment="1">
      <alignment vertic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vertical="center" wrapText="1"/>
    </xf>
    <xf numFmtId="0" fontId="9" fillId="2" borderId="0" xfId="0" applyFont="1" applyFill="1" applyAlignment="1">
      <alignment vertical="center"/>
    </xf>
    <xf numFmtId="0" fontId="0" fillId="4" borderId="0" xfId="0" applyFill="1" applyAlignment="1">
      <alignment horizontal="center" vertical="top" wrapText="1"/>
    </xf>
    <xf numFmtId="0" fontId="0" fillId="4" borderId="0" xfId="0" applyFill="1" applyAlignment="1">
      <alignment horizontal="center" vertical="top" wrapText="1"/>
    </xf>
    <xf numFmtId="0" fontId="14" fillId="4" borderId="0" xfId="0" applyFont="1" applyFill="1" applyAlignment="1">
      <alignment horizontal="center" vertical="top" wrapText="1"/>
    </xf>
    <xf numFmtId="0" fontId="14" fillId="0" borderId="0" xfId="0" applyFont="1"/>
    <xf numFmtId="0" fontId="8" fillId="7" borderId="0" xfId="0" applyFont="1" applyFill="1"/>
  </cellXfs>
  <cellStyles count="1">
    <cellStyle name="Normal" xfId="0" builtinId="0"/>
  </cellStyles>
  <dxfs count="6"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API Test Status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Dashboard!$B$11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Dashboard!$A$12:$A$16</c:f>
              <c:strCache>
                <c:ptCount val="5"/>
                <c:pt idx="0">
                  <c:v>Passed</c:v>
                </c:pt>
                <c:pt idx="1">
                  <c:v>Failed</c:v>
                </c:pt>
                <c:pt idx="2">
                  <c:v>Not Run</c:v>
                </c:pt>
                <c:pt idx="3">
                  <c:v>Blocked</c:v>
                </c:pt>
                <c:pt idx="4">
                  <c:v>Skipped</c:v>
                </c:pt>
              </c:strCache>
            </c:strRef>
          </c:cat>
          <c:val>
            <c:numRef>
              <c:f>Dashboard!$B$12:$B$16</c:f>
              <c:numCache>
                <c:formatCode>General</c:formatCode>
                <c:ptCount val="5"/>
                <c:pt idx="0">
                  <c:v>33</c:v>
                </c:pt>
                <c:pt idx="1">
                  <c:v>3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A-4A29-81CE-E37604834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Status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Functional Test Status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Dashboard!$E$11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0"/>
              <c:layout>
                <c:manualLayout>
                  <c:x val="0.14405092592592592"/>
                  <c:y val="-0.1663095238095238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0A8-4291-8602-CC075CD61C38}"/>
                </c:ext>
              </c:extLst>
            </c:dLbl>
            <c:dLbl>
              <c:idx val="1"/>
              <c:layout>
                <c:manualLayout>
                  <c:x val="7.9375000000000001E-2"/>
                  <c:y val="0.35781746031746031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0A8-4291-8602-CC075CD61C38}"/>
                </c:ext>
              </c:extLst>
            </c:dLbl>
            <c:dLbl>
              <c:idx val="2"/>
              <c:layout>
                <c:manualLayout>
                  <c:x val="-0.12053240740740744"/>
                  <c:y val="0.12095238095238087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</a:t>
                    </a:r>
                  </a:p>
                </c:rich>
              </c:tx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70A8-4291-8602-CC075CD61C38}"/>
                </c:ext>
              </c:extLst>
            </c:dLbl>
            <c:dLbl>
              <c:idx val="3"/>
              <c:layout>
                <c:manualLayout>
                  <c:x val="-0.33807870370370369"/>
                  <c:y val="0.4686904761904761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0A8-4291-8602-CC075CD61C38}"/>
                </c:ext>
              </c:extLst>
            </c:dLbl>
            <c:dLbl>
              <c:idx val="4"/>
              <c:layout>
                <c:manualLayout>
                  <c:x val="-0.33219907407407412"/>
                  <c:y val="-4.0317460317460314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A8-4291-8602-CC075CD61C3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Dashboard!$D$12:$D$16</c:f>
              <c:strCache>
                <c:ptCount val="5"/>
                <c:pt idx="0">
                  <c:v>Passed</c:v>
                </c:pt>
                <c:pt idx="1">
                  <c:v>Failed</c:v>
                </c:pt>
                <c:pt idx="2">
                  <c:v>Not Run</c:v>
                </c:pt>
                <c:pt idx="3">
                  <c:v>Blocked</c:v>
                </c:pt>
                <c:pt idx="4">
                  <c:v>Skipped</c:v>
                </c:pt>
              </c:strCache>
            </c:strRef>
          </c:cat>
          <c:val>
            <c:numRef>
              <c:f>Dashboard!$E$12:$E$16</c:f>
              <c:numCache>
                <c:formatCode>General</c:formatCode>
                <c:ptCount val="5"/>
                <c:pt idx="0">
                  <c:v>15</c:v>
                </c:pt>
                <c:pt idx="1">
                  <c:v>0</c:v>
                </c:pt>
                <c:pt idx="2">
                  <c:v>27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A8-4291-8602-CC075CD61C38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55"/>
      </c:doughnutChart>
    </c:plotArea>
    <c:legend>
      <c:legendPos val="r"/>
      <c:layout>
        <c:manualLayout>
          <c:xMode val="edge"/>
          <c:yMode val="edge"/>
          <c:x val="0.85223124999999988"/>
          <c:y val="0.12097896825396826"/>
          <c:w val="0.14776875"/>
          <c:h val="0.45566071428571431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IN"/>
              <a:t>API Results by Module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Dashboard!$H$11</c:f>
              <c:strCache>
                <c:ptCount val="1"/>
                <c:pt idx="0">
                  <c:v>Passed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Dashboard!$G$12:$G$21</c:f>
              <c:strCache>
                <c:ptCount val="10"/>
                <c:pt idx="0">
                  <c:v>Authentication</c:v>
                </c:pt>
                <c:pt idx="1">
                  <c:v>Users</c:v>
                </c:pt>
                <c:pt idx="2">
                  <c:v>Organizations</c:v>
                </c:pt>
                <c:pt idx="3">
                  <c:v>Categories</c:v>
                </c:pt>
                <c:pt idx="4">
                  <c:v>Products</c:v>
                </c:pt>
                <c:pt idx="5">
                  <c:v>Competitors</c:v>
                </c:pt>
                <c:pt idx="6">
                  <c:v>Pricing Engine</c:v>
                </c:pt>
                <c:pt idx="7">
                  <c:v>Sales</c:v>
                </c:pt>
                <c:pt idx="8">
                  <c:v>AI v2</c:v>
                </c:pt>
                <c:pt idx="9">
                  <c:v>System</c:v>
                </c:pt>
              </c:strCache>
            </c:strRef>
          </c:cat>
          <c:val>
            <c:numRef>
              <c:f>Dashboard!$H$12:$H$21</c:f>
              <c:numCache>
                <c:formatCode>General</c:formatCode>
                <c:ptCount val="10"/>
                <c:pt idx="0">
                  <c:v>4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8</c:v>
                </c:pt>
                <c:pt idx="5">
                  <c:v>4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9-445E-B768-8F71D8D3E441}"/>
            </c:ext>
          </c:extLst>
        </c:ser>
        <c:ser>
          <c:idx val="1"/>
          <c:order val="1"/>
          <c:tx>
            <c:strRef>
              <c:f>Dashboard!$I$11</c:f>
              <c:strCache>
                <c:ptCount val="1"/>
                <c:pt idx="0">
                  <c:v>Failed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Dashboard!$G$12:$G$21</c:f>
              <c:strCache>
                <c:ptCount val="10"/>
                <c:pt idx="0">
                  <c:v>Authentication</c:v>
                </c:pt>
                <c:pt idx="1">
                  <c:v>Users</c:v>
                </c:pt>
                <c:pt idx="2">
                  <c:v>Organizations</c:v>
                </c:pt>
                <c:pt idx="3">
                  <c:v>Categories</c:v>
                </c:pt>
                <c:pt idx="4">
                  <c:v>Products</c:v>
                </c:pt>
                <c:pt idx="5">
                  <c:v>Competitors</c:v>
                </c:pt>
                <c:pt idx="6">
                  <c:v>Pricing Engine</c:v>
                </c:pt>
                <c:pt idx="7">
                  <c:v>Sales</c:v>
                </c:pt>
                <c:pt idx="8">
                  <c:v>AI v2</c:v>
                </c:pt>
                <c:pt idx="9">
                  <c:v>System</c:v>
                </c:pt>
              </c:strCache>
            </c:strRef>
          </c:cat>
          <c:val>
            <c:numRef>
              <c:f>Dashboard!$I$12:$I$21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49-445E-B768-8F71D8D3E441}"/>
            </c:ext>
          </c:extLst>
        </c:ser>
        <c:ser>
          <c:idx val="2"/>
          <c:order val="2"/>
          <c:tx>
            <c:strRef>
              <c:f>Dashboard!$J$11</c:f>
              <c:strCache>
                <c:ptCount val="1"/>
                <c:pt idx="0">
                  <c:v>Not Run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Dashboard!$G$12:$G$21</c:f>
              <c:strCache>
                <c:ptCount val="10"/>
                <c:pt idx="0">
                  <c:v>Authentication</c:v>
                </c:pt>
                <c:pt idx="1">
                  <c:v>Users</c:v>
                </c:pt>
                <c:pt idx="2">
                  <c:v>Organizations</c:v>
                </c:pt>
                <c:pt idx="3">
                  <c:v>Categories</c:v>
                </c:pt>
                <c:pt idx="4">
                  <c:v>Products</c:v>
                </c:pt>
                <c:pt idx="5">
                  <c:v>Competitors</c:v>
                </c:pt>
                <c:pt idx="6">
                  <c:v>Pricing Engine</c:v>
                </c:pt>
                <c:pt idx="7">
                  <c:v>Sales</c:v>
                </c:pt>
                <c:pt idx="8">
                  <c:v>AI v2</c:v>
                </c:pt>
                <c:pt idx="9">
                  <c:v>System</c:v>
                </c:pt>
              </c:strCache>
            </c:strRef>
          </c:cat>
          <c:val>
            <c:numRef>
              <c:f>Dashboard!$J$12:$J$21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49-445E-B768-8F71D8D3E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Module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Endpoints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19</xdr:row>
      <xdr:rowOff>85725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857250</xdr:colOff>
      <xdr:row>4</xdr:row>
      <xdr:rowOff>28575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533400</xdr:colOff>
      <xdr:row>35</xdr:row>
      <xdr:rowOff>123825</xdr:rowOff>
    </xdr:from>
    <xdr:ext cx="720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unctionalTestCases" displayName="FunctionalTestCases" ref="A3:I45">
  <autoFilter ref="A3:I45" xr:uid="{00000000-0009-0000-0100-000002000000}"/>
  <tableColumns count="9">
    <tableColumn id="1" xr3:uid="{00000000-0010-0000-0100-000001000000}" name="Case ID"/>
    <tableColumn id="2" xr3:uid="{00000000-0010-0000-0100-000002000000}" name="Test Area"/>
    <tableColumn id="3" xr3:uid="{00000000-0010-0000-0100-000003000000}" name="Scenario"/>
    <tableColumn id="4" xr3:uid="{00000000-0010-0000-0100-000004000000}" name="Preconditions / Test Data"/>
    <tableColumn id="5" xr3:uid="{00000000-0010-0000-0100-000005000000}" name="Steps to Execute"/>
    <tableColumn id="6" xr3:uid="{00000000-0010-0000-0100-000006000000}" name="Expected Result"/>
    <tableColumn id="7" xr3:uid="{00000000-0010-0000-0100-000007000000}" name="Actual Result"/>
    <tableColumn id="8" xr3:uid="{00000000-0010-0000-0100-000008000000}" name="Status"/>
    <tableColumn id="9" xr3:uid="{00000000-0010-0000-0100-000009000000}" name="Seve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9"/>
  <sheetViews>
    <sheetView showGridLines="0" workbookViewId="0">
      <pane ySplit="3" topLeftCell="A4" activePane="bottomLeft" state="frozen"/>
      <selection pane="bottomLeft" activeCell="D8" sqref="D8:E8"/>
    </sheetView>
  </sheetViews>
  <sheetFormatPr defaultRowHeight="15" x14ac:dyDescent="0.25"/>
  <cols>
    <col min="1" max="1" width="18" customWidth="1"/>
    <col min="2" max="3" width="15" customWidth="1"/>
    <col min="4" max="4" width="18" customWidth="1"/>
    <col min="5" max="6" width="15" customWidth="1"/>
    <col min="7" max="7" width="18" customWidth="1"/>
    <col min="8" max="9" width="15" customWidth="1"/>
    <col min="10" max="10" width="18" customWidth="1"/>
    <col min="11" max="14" width="15" customWidth="1"/>
  </cols>
  <sheetData>
    <row r="1" spans="1:14" ht="38.1" customHeight="1" x14ac:dyDescent="0.25">
      <c r="A1" s="13" t="s">
        <v>23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x14ac:dyDescent="0.25">
      <c r="A2" s="17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4" spans="1:14" ht="30" customHeight="1" x14ac:dyDescent="0.25">
      <c r="A4" s="16" t="s">
        <v>24</v>
      </c>
      <c r="B4" s="12"/>
      <c r="D4" s="16" t="s">
        <v>25</v>
      </c>
      <c r="E4" s="12"/>
      <c r="G4" s="16" t="s">
        <v>26</v>
      </c>
      <c r="H4" s="12"/>
      <c r="J4" s="16" t="s">
        <v>27</v>
      </c>
      <c r="K4" s="12"/>
    </row>
    <row r="5" spans="1:14" ht="36" customHeight="1" x14ac:dyDescent="0.25">
      <c r="A5" s="14">
        <f>COUNTA('API Test Log'!A5:A41)</f>
        <v>37</v>
      </c>
      <c r="B5" s="12"/>
      <c r="D5" s="14">
        <f>COUNTIF('API Test Log'!H5:H41,"Passed")+COUNTIF('API Test Log'!H5:H41,"Failed")+COUNTIF('API Test Log'!H5:H41,"Blocked")+COUNTIF('API Test Log'!H5:H41,"Skipped")</f>
        <v>37</v>
      </c>
      <c r="E5" s="12"/>
      <c r="G5" s="15">
        <f>IFERROR(COUNTIF('API Test Log'!H5:H41,"Passed")/(COUNTIF('API Test Log'!H5:H41,"Passed")+COUNTIF('API Test Log'!H5:H41,"Failed")),0)</f>
        <v>0.91666666666666663</v>
      </c>
      <c r="H5" s="12"/>
      <c r="J5" s="14">
        <f>COUNTIF('API Test Log'!H5:H41,"Failed")</f>
        <v>3</v>
      </c>
      <c r="K5" s="12"/>
    </row>
    <row r="7" spans="1:14" ht="30" customHeight="1" x14ac:dyDescent="0.25">
      <c r="A7" s="16" t="s">
        <v>28</v>
      </c>
      <c r="B7" s="12"/>
      <c r="D7" s="16" t="s">
        <v>29</v>
      </c>
      <c r="E7" s="12"/>
      <c r="G7" s="16" t="s">
        <v>30</v>
      </c>
      <c r="H7" s="12"/>
      <c r="J7" s="16" t="s">
        <v>31</v>
      </c>
      <c r="K7" s="12"/>
    </row>
    <row r="8" spans="1:14" ht="36" customHeight="1" x14ac:dyDescent="0.25">
      <c r="A8" s="14">
        <f>COUNTA('Test Cases'!A4:A45)</f>
        <v>42</v>
      </c>
      <c r="B8" s="12"/>
      <c r="D8" s="14">
        <f>COUNTIF('Test Cases'!H4:H45,"Passed")+COUNTIF('Test Cases'!H4:H45,"Failed")+COUNTIF('Test Cases'!H4:H45,"Blocked")+COUNTIF('Test Cases'!H4:H45,"Skipped")</f>
        <v>15</v>
      </c>
      <c r="E8" s="12"/>
      <c r="G8" s="15">
        <f>IFERROR(COUNTIF('Test Cases'!H4:H45,"Passed")/(COUNTIF('Test Cases'!H4:H45,"Passed")+COUNTIF('Test Cases'!H4:H45,"Failed")),0)</f>
        <v>1</v>
      </c>
      <c r="H8" s="12"/>
      <c r="J8" s="14">
        <f>COUNTIF('Test Cases'!H4:H45,"Failed")</f>
        <v>0</v>
      </c>
      <c r="K8" s="12"/>
    </row>
    <row r="11" spans="1:14" x14ac:dyDescent="0.25">
      <c r="A11" s="7" t="s">
        <v>32</v>
      </c>
      <c r="B11" s="7" t="s">
        <v>33</v>
      </c>
      <c r="C11" s="7"/>
      <c r="D11" s="7" t="s">
        <v>34</v>
      </c>
      <c r="E11" s="7" t="s">
        <v>33</v>
      </c>
      <c r="F11" s="7"/>
      <c r="G11" s="7" t="s">
        <v>35</v>
      </c>
      <c r="H11" s="7" t="s">
        <v>36</v>
      </c>
      <c r="I11" s="7" t="s">
        <v>37</v>
      </c>
      <c r="J11" s="7" t="s">
        <v>38</v>
      </c>
    </row>
    <row r="12" spans="1:14" x14ac:dyDescent="0.25">
      <c r="A12" t="s">
        <v>36</v>
      </c>
      <c r="B12">
        <f>COUNTIF('API Test Log'!H5:H41,A12)</f>
        <v>33</v>
      </c>
      <c r="D12" t="s">
        <v>36</v>
      </c>
      <c r="E12">
        <f>COUNTIF('Test Cases'!H4:H45,D12)</f>
        <v>15</v>
      </c>
      <c r="G12" t="s">
        <v>39</v>
      </c>
      <c r="H12">
        <f>COUNTIFS('API Test Log'!$B$5:$B$41,G12,'API Test Log'!$H$5:$H$41,"Passed")</f>
        <v>4</v>
      </c>
      <c r="I12">
        <f>COUNTIFS('API Test Log'!$B$5:$B$41,G12,'API Test Log'!$H$5:$H$41,"Failed")</f>
        <v>0</v>
      </c>
      <c r="J12">
        <f>COUNTIFS('API Test Log'!$B$5:$B$41,G12,'API Test Log'!$H$5:$H$41,"Not Run")</f>
        <v>0</v>
      </c>
    </row>
    <row r="13" spans="1:14" x14ac:dyDescent="0.25">
      <c r="A13" t="s">
        <v>37</v>
      </c>
      <c r="B13">
        <f>COUNTIF('API Test Log'!H5:H41,A13)</f>
        <v>3</v>
      </c>
      <c r="D13" t="s">
        <v>37</v>
      </c>
      <c r="E13">
        <f>COUNTIF('Test Cases'!H4:H45,D13)</f>
        <v>0</v>
      </c>
      <c r="G13" t="s">
        <v>40</v>
      </c>
      <c r="H13">
        <f>COUNTIFS('API Test Log'!$B$5:$B$41,G13,'API Test Log'!$H$5:$H$41,"Passed")</f>
        <v>3</v>
      </c>
      <c r="I13">
        <f>COUNTIFS('API Test Log'!$B$5:$B$41,G13,'API Test Log'!$H$5:$H$41,"Failed")</f>
        <v>0</v>
      </c>
      <c r="J13">
        <f>COUNTIFS('API Test Log'!$B$5:$B$41,G13,'API Test Log'!$H$5:$H$41,"Not Run")</f>
        <v>0</v>
      </c>
    </row>
    <row r="14" spans="1:14" x14ac:dyDescent="0.25">
      <c r="A14" t="s">
        <v>38</v>
      </c>
      <c r="B14">
        <f>COUNTIF('API Test Log'!H5:H41,A14)</f>
        <v>0</v>
      </c>
      <c r="D14" t="s">
        <v>38</v>
      </c>
      <c r="E14">
        <f>COUNTIF('Test Cases'!H4:H45,D14)</f>
        <v>27</v>
      </c>
      <c r="G14" t="s">
        <v>41</v>
      </c>
      <c r="H14">
        <f>COUNTIFS('API Test Log'!$B$5:$B$41,G14,'API Test Log'!$H$5:$H$41,"Passed")</f>
        <v>4</v>
      </c>
      <c r="I14">
        <f>COUNTIFS('API Test Log'!$B$5:$B$41,G14,'API Test Log'!$H$5:$H$41,"Failed")</f>
        <v>0</v>
      </c>
      <c r="J14">
        <f>COUNTIFS('API Test Log'!$B$5:$B$41,G14,'API Test Log'!$H$5:$H$41,"Not Run")</f>
        <v>0</v>
      </c>
    </row>
    <row r="15" spans="1:14" x14ac:dyDescent="0.25">
      <c r="A15" t="s">
        <v>42</v>
      </c>
      <c r="B15">
        <f>COUNTIF('API Test Log'!H5:H41,A15)</f>
        <v>1</v>
      </c>
      <c r="D15" t="s">
        <v>42</v>
      </c>
      <c r="E15">
        <f>COUNTIF('Test Cases'!H4:H45,D15)</f>
        <v>0</v>
      </c>
      <c r="G15" t="s">
        <v>43</v>
      </c>
      <c r="H15">
        <f>COUNTIFS('API Test Log'!$B$5:$B$41,G15,'API Test Log'!$H$5:$H$41,"Passed")</f>
        <v>2</v>
      </c>
      <c r="I15">
        <f>COUNTIFS('API Test Log'!$B$5:$B$41,G15,'API Test Log'!$H$5:$H$41,"Failed")</f>
        <v>0</v>
      </c>
      <c r="J15">
        <f>COUNTIFS('API Test Log'!$B$5:$B$41,G15,'API Test Log'!$H$5:$H$41,"Not Run")</f>
        <v>0</v>
      </c>
    </row>
    <row r="16" spans="1:14" x14ac:dyDescent="0.25">
      <c r="A16" t="s">
        <v>44</v>
      </c>
      <c r="B16">
        <f>COUNTIF('API Test Log'!H5:H41,A16)</f>
        <v>0</v>
      </c>
      <c r="D16" t="s">
        <v>44</v>
      </c>
      <c r="E16">
        <f>COUNTIF('Test Cases'!H4:H45,D16)</f>
        <v>0</v>
      </c>
      <c r="G16" t="s">
        <v>45</v>
      </c>
      <c r="H16">
        <f>COUNTIFS('API Test Log'!$B$5:$B$41,G16,'API Test Log'!$H$5:$H$41,"Passed")</f>
        <v>8</v>
      </c>
      <c r="I16">
        <f>COUNTIFS('API Test Log'!$B$5:$B$41,G16,'API Test Log'!$H$5:$H$41,"Failed")</f>
        <v>0</v>
      </c>
      <c r="J16">
        <f>COUNTIFS('API Test Log'!$B$5:$B$41,G16,'API Test Log'!$H$5:$H$41,"Not Run")</f>
        <v>0</v>
      </c>
    </row>
    <row r="17" spans="5:10" x14ac:dyDescent="0.25">
      <c r="E17" s="25"/>
      <c r="G17" t="s">
        <v>46</v>
      </c>
      <c r="H17">
        <f>COUNTIFS('API Test Log'!$B$5:$B$41,G17,'API Test Log'!$H$5:$H$41,"Passed")</f>
        <v>4</v>
      </c>
      <c r="I17">
        <f>COUNTIFS('API Test Log'!$B$5:$B$41,G17,'API Test Log'!$H$5:$H$41,"Failed")</f>
        <v>2</v>
      </c>
      <c r="J17">
        <f>COUNTIFS('API Test Log'!$B$5:$B$41,G17,'API Test Log'!$H$5:$H$41,"Not Run")</f>
        <v>0</v>
      </c>
    </row>
    <row r="18" spans="5:10" x14ac:dyDescent="0.25">
      <c r="G18" t="s">
        <v>47</v>
      </c>
      <c r="H18">
        <f>COUNTIFS('API Test Log'!$B$5:$B$41,G18,'API Test Log'!$H$5:$H$41,"Passed")</f>
        <v>3</v>
      </c>
      <c r="I18">
        <f>COUNTIFS('API Test Log'!$B$5:$B$41,G18,'API Test Log'!$H$5:$H$41,"Failed")</f>
        <v>1</v>
      </c>
      <c r="J18">
        <f>COUNTIFS('API Test Log'!$B$5:$B$41,G18,'API Test Log'!$H$5:$H$41,"Not Run")</f>
        <v>0</v>
      </c>
    </row>
    <row r="19" spans="5:10" x14ac:dyDescent="0.25">
      <c r="G19" t="s">
        <v>48</v>
      </c>
      <c r="H19">
        <f>COUNTIFS('API Test Log'!$B$5:$B$41,G19,'API Test Log'!$H$5:$H$41,"Passed")</f>
        <v>1</v>
      </c>
      <c r="I19">
        <f>COUNTIFS('API Test Log'!$B$5:$B$41,G19,'API Test Log'!$H$5:$H$41,"Failed")</f>
        <v>0</v>
      </c>
      <c r="J19">
        <f>COUNTIFS('API Test Log'!$B$5:$B$41,G19,'API Test Log'!$H$5:$H$41,"Not Run")</f>
        <v>0</v>
      </c>
    </row>
    <row r="20" spans="5:10" x14ac:dyDescent="0.25">
      <c r="G20" t="s">
        <v>49</v>
      </c>
      <c r="H20">
        <f>COUNTIFS('API Test Log'!$B$5:$B$41,G20,'API Test Log'!$H$5:$H$41,"Passed")</f>
        <v>2</v>
      </c>
      <c r="I20">
        <f>COUNTIFS('API Test Log'!$B$5:$B$41,G20,'API Test Log'!$H$5:$H$41,"Failed")</f>
        <v>0</v>
      </c>
      <c r="J20">
        <f>COUNTIFS('API Test Log'!$B$5:$B$41,G20,'API Test Log'!$H$5:$H$41,"Not Run")</f>
        <v>0</v>
      </c>
    </row>
    <row r="21" spans="5:10" x14ac:dyDescent="0.25">
      <c r="G21" t="s">
        <v>50</v>
      </c>
      <c r="H21">
        <f>COUNTIFS('API Test Log'!$B$5:$B$41,G21,'API Test Log'!$H$5:$H$41,"Passed")</f>
        <v>2</v>
      </c>
      <c r="I21">
        <f>COUNTIFS('API Test Log'!$B$5:$B$41,G21,'API Test Log'!$H$5:$H$41,"Failed")</f>
        <v>0</v>
      </c>
      <c r="J21">
        <f>COUNTIFS('API Test Log'!$B$5:$B$41,G21,'API Test Log'!$H$5:$H$41,"Not Run")</f>
        <v>0</v>
      </c>
    </row>
    <row r="34" spans="7:11" x14ac:dyDescent="0.25">
      <c r="G34" s="26"/>
    </row>
    <row r="35" spans="7:11" ht="27.95" customHeight="1" x14ac:dyDescent="0.25">
      <c r="G35" s="11"/>
      <c r="H35" s="12"/>
      <c r="I35" s="12"/>
      <c r="J35" s="12"/>
      <c r="K35" s="12"/>
    </row>
    <row r="36" spans="7:11" ht="27.95" customHeight="1" x14ac:dyDescent="0.25">
      <c r="G36" s="11"/>
      <c r="H36" s="12"/>
      <c r="I36" s="12"/>
      <c r="J36" s="12"/>
      <c r="K36" s="12"/>
    </row>
    <row r="37" spans="7:11" ht="27.95" customHeight="1" x14ac:dyDescent="0.25">
      <c r="G37" s="11"/>
      <c r="H37" s="12"/>
      <c r="I37" s="12"/>
      <c r="J37" s="12"/>
      <c r="K37" s="12"/>
    </row>
    <row r="38" spans="7:11" ht="27.95" customHeight="1" x14ac:dyDescent="0.25">
      <c r="G38" s="11"/>
      <c r="H38" s="12"/>
      <c r="I38" s="12"/>
      <c r="J38" s="12"/>
      <c r="K38" s="12"/>
    </row>
    <row r="39" spans="7:11" ht="27.95" customHeight="1" x14ac:dyDescent="0.25">
      <c r="G39" s="11"/>
      <c r="H39" s="12"/>
      <c r="I39" s="12"/>
      <c r="J39" s="12"/>
      <c r="K39" s="12"/>
    </row>
  </sheetData>
  <mergeCells count="23">
    <mergeCell ref="A8:B8"/>
    <mergeCell ref="A4:B4"/>
    <mergeCell ref="G4:H4"/>
    <mergeCell ref="D8:E8"/>
    <mergeCell ref="G35:K35"/>
    <mergeCell ref="D5:E5"/>
    <mergeCell ref="J8:K8"/>
    <mergeCell ref="J5:K5"/>
    <mergeCell ref="G36:K36"/>
    <mergeCell ref="G8:H8"/>
    <mergeCell ref="G39:K39"/>
    <mergeCell ref="A1:N1"/>
    <mergeCell ref="A7:B7"/>
    <mergeCell ref="G7:H7"/>
    <mergeCell ref="G38:K38"/>
    <mergeCell ref="G37:K37"/>
    <mergeCell ref="J4:K4"/>
    <mergeCell ref="D7:E7"/>
    <mergeCell ref="A2:N2"/>
    <mergeCell ref="J7:K7"/>
    <mergeCell ref="A5:B5"/>
    <mergeCell ref="G5:H5"/>
    <mergeCell ref="D4:E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41"/>
  <sheetViews>
    <sheetView showGridLines="0" zoomScale="85" zoomScaleNormal="85" workbookViewId="0">
      <pane ySplit="4" topLeftCell="A5" activePane="bottomLeft" state="frozen"/>
      <selection pane="bottomLeft" activeCell="M14" sqref="M14"/>
    </sheetView>
  </sheetViews>
  <sheetFormatPr defaultColWidth="14" defaultRowHeight="15" x14ac:dyDescent="0.25"/>
  <cols>
    <col min="1" max="1" width="13" style="1" customWidth="1"/>
    <col min="2" max="2" width="20" customWidth="1"/>
    <col min="3" max="3" width="11" customWidth="1"/>
    <col min="4" max="4" width="54" customWidth="1"/>
    <col min="5" max="5" width="27" customWidth="1"/>
    <col min="6" max="6" width="12" customWidth="1"/>
    <col min="7" max="7" width="20" style="1" customWidth="1"/>
    <col min="8" max="8" width="14" style="1" customWidth="1"/>
    <col min="9" max="9" width="13" style="1" customWidth="1"/>
    <col min="10" max="16384" width="14" style="1"/>
  </cols>
  <sheetData>
    <row r="1" spans="1:9" ht="33.950000000000003" customHeight="1" x14ac:dyDescent="0.25">
      <c r="A1" s="18" t="s">
        <v>51</v>
      </c>
      <c r="B1" s="12"/>
      <c r="C1" s="12"/>
      <c r="D1" s="12"/>
      <c r="E1" s="12"/>
      <c r="F1" s="12"/>
      <c r="G1" s="19"/>
      <c r="H1" s="19"/>
      <c r="I1" s="19"/>
    </row>
    <row r="2" spans="1:9" ht="27.95" customHeight="1" x14ac:dyDescent="0.25">
      <c r="A2" s="20"/>
      <c r="B2" s="12"/>
      <c r="C2" s="12"/>
      <c r="D2" s="12"/>
      <c r="E2" s="12"/>
      <c r="F2" s="12"/>
      <c r="G2" s="19"/>
      <c r="H2" s="19"/>
      <c r="I2" s="19"/>
    </row>
    <row r="4" spans="1:9" ht="42" customHeight="1" x14ac:dyDescent="0.2">
      <c r="A4" s="8" t="s">
        <v>52</v>
      </c>
      <c r="B4" s="8" t="s">
        <v>35</v>
      </c>
      <c r="C4" s="8" t="s">
        <v>53</v>
      </c>
      <c r="D4" s="8" t="s">
        <v>54</v>
      </c>
      <c r="E4" s="8" t="s">
        <v>55</v>
      </c>
      <c r="F4" s="8" t="s">
        <v>56</v>
      </c>
      <c r="G4" s="8" t="s">
        <v>57</v>
      </c>
      <c r="H4" s="8" t="s">
        <v>58</v>
      </c>
      <c r="I4" s="8" t="s">
        <v>59</v>
      </c>
    </row>
    <row r="5" spans="1:9" x14ac:dyDescent="0.2">
      <c r="A5" s="6" t="s">
        <v>61</v>
      </c>
      <c r="B5" s="6" t="s">
        <v>39</v>
      </c>
      <c r="C5" s="6" t="s">
        <v>62</v>
      </c>
      <c r="D5" s="6" t="s">
        <v>63</v>
      </c>
      <c r="E5" s="6" t="s">
        <v>64</v>
      </c>
      <c r="F5" s="22" t="s">
        <v>65</v>
      </c>
      <c r="G5" s="22" t="s">
        <v>78</v>
      </c>
      <c r="H5" s="22" t="s">
        <v>36</v>
      </c>
      <c r="I5" s="22" t="s">
        <v>67</v>
      </c>
    </row>
    <row r="6" spans="1:9" x14ac:dyDescent="0.2">
      <c r="A6" s="9" t="s">
        <v>68</v>
      </c>
      <c r="B6" s="9" t="s">
        <v>39</v>
      </c>
      <c r="C6" s="9" t="s">
        <v>62</v>
      </c>
      <c r="D6" s="9" t="s">
        <v>69</v>
      </c>
      <c r="E6" s="9" t="s">
        <v>70</v>
      </c>
      <c r="F6" s="22" t="s">
        <v>65</v>
      </c>
      <c r="G6" s="22" t="s">
        <v>78</v>
      </c>
      <c r="H6" s="23" t="s">
        <v>36</v>
      </c>
      <c r="I6" s="23" t="s">
        <v>67</v>
      </c>
    </row>
    <row r="7" spans="1:9" ht="30" x14ac:dyDescent="0.2">
      <c r="A7" s="6" t="s">
        <v>71</v>
      </c>
      <c r="B7" s="6" t="s">
        <v>39</v>
      </c>
      <c r="C7" s="6" t="s">
        <v>62</v>
      </c>
      <c r="D7" s="6" t="s">
        <v>72</v>
      </c>
      <c r="E7" s="6" t="s">
        <v>73</v>
      </c>
      <c r="F7" s="22" t="s">
        <v>65</v>
      </c>
      <c r="G7" s="22" t="s">
        <v>66</v>
      </c>
      <c r="H7" s="22" t="s">
        <v>36</v>
      </c>
      <c r="I7" s="22">
        <v>200</v>
      </c>
    </row>
    <row r="8" spans="1:9" x14ac:dyDescent="0.2">
      <c r="A8" s="9" t="s">
        <v>74</v>
      </c>
      <c r="B8" s="9" t="s">
        <v>39</v>
      </c>
      <c r="C8" s="9" t="s">
        <v>75</v>
      </c>
      <c r="D8" s="9" t="s">
        <v>76</v>
      </c>
      <c r="E8" s="9" t="s">
        <v>77</v>
      </c>
      <c r="F8" s="22" t="s">
        <v>65</v>
      </c>
      <c r="G8" s="22" t="s">
        <v>78</v>
      </c>
      <c r="H8" s="22" t="s">
        <v>36</v>
      </c>
      <c r="I8" s="22">
        <v>200</v>
      </c>
    </row>
    <row r="9" spans="1:9" ht="32.1" customHeight="1" x14ac:dyDescent="0.2">
      <c r="A9" s="6" t="s">
        <v>79</v>
      </c>
      <c r="B9" s="6" t="s">
        <v>40</v>
      </c>
      <c r="C9" s="6" t="s">
        <v>75</v>
      </c>
      <c r="D9" s="6" t="s">
        <v>80</v>
      </c>
      <c r="E9" s="6" t="s">
        <v>81</v>
      </c>
      <c r="F9" s="22" t="s">
        <v>82</v>
      </c>
      <c r="G9" s="22" t="s">
        <v>78</v>
      </c>
      <c r="H9" s="22" t="s">
        <v>36</v>
      </c>
      <c r="I9" s="22">
        <v>200</v>
      </c>
    </row>
    <row r="10" spans="1:9" ht="20.25" customHeight="1" x14ac:dyDescent="0.2">
      <c r="A10" s="9" t="s">
        <v>83</v>
      </c>
      <c r="B10" s="9" t="s">
        <v>40</v>
      </c>
      <c r="C10" s="9" t="s">
        <v>75</v>
      </c>
      <c r="D10" s="9" t="s">
        <v>84</v>
      </c>
      <c r="E10" s="9" t="s">
        <v>85</v>
      </c>
      <c r="F10" s="22" t="s">
        <v>82</v>
      </c>
      <c r="G10" s="22" t="s">
        <v>78</v>
      </c>
      <c r="H10" s="22" t="s">
        <v>36</v>
      </c>
      <c r="I10" s="22">
        <v>200</v>
      </c>
    </row>
    <row r="11" spans="1:9" ht="20.25" customHeight="1" x14ac:dyDescent="0.2">
      <c r="A11" s="6" t="s">
        <v>86</v>
      </c>
      <c r="B11" s="6" t="s">
        <v>40</v>
      </c>
      <c r="C11" s="6" t="s">
        <v>87</v>
      </c>
      <c r="D11" s="6" t="s">
        <v>84</v>
      </c>
      <c r="E11" s="6" t="s">
        <v>85</v>
      </c>
      <c r="F11" s="22" t="s">
        <v>82</v>
      </c>
      <c r="G11" s="22" t="s">
        <v>78</v>
      </c>
      <c r="H11" s="22" t="s">
        <v>36</v>
      </c>
      <c r="I11" s="22">
        <v>200</v>
      </c>
    </row>
    <row r="12" spans="1:9" ht="20.25" customHeight="1" x14ac:dyDescent="0.2">
      <c r="A12" s="9" t="s">
        <v>88</v>
      </c>
      <c r="B12" s="9" t="s">
        <v>41</v>
      </c>
      <c r="C12" s="9" t="s">
        <v>75</v>
      </c>
      <c r="D12" s="9" t="s">
        <v>89</v>
      </c>
      <c r="E12" s="9" t="s">
        <v>90</v>
      </c>
      <c r="F12" s="22" t="s">
        <v>82</v>
      </c>
      <c r="G12" s="22" t="s">
        <v>78</v>
      </c>
      <c r="H12" s="22" t="s">
        <v>36</v>
      </c>
      <c r="I12" s="22">
        <v>200</v>
      </c>
    </row>
    <row r="13" spans="1:9" ht="20.25" customHeight="1" x14ac:dyDescent="0.2">
      <c r="A13" s="6" t="s">
        <v>91</v>
      </c>
      <c r="B13" s="6" t="s">
        <v>41</v>
      </c>
      <c r="C13" s="6" t="s">
        <v>62</v>
      </c>
      <c r="D13" s="6" t="s">
        <v>89</v>
      </c>
      <c r="E13" s="6" t="s">
        <v>90</v>
      </c>
      <c r="F13" s="22" t="s">
        <v>82</v>
      </c>
      <c r="G13" s="22" t="s">
        <v>78</v>
      </c>
      <c r="H13" s="22" t="s">
        <v>36</v>
      </c>
      <c r="I13" s="22">
        <v>200</v>
      </c>
    </row>
    <row r="14" spans="1:9" ht="20.25" customHeight="1" x14ac:dyDescent="0.2">
      <c r="A14" s="9" t="s">
        <v>92</v>
      </c>
      <c r="B14" s="9" t="s">
        <v>41</v>
      </c>
      <c r="C14" s="9" t="s">
        <v>75</v>
      </c>
      <c r="D14" s="9" t="s">
        <v>93</v>
      </c>
      <c r="E14" s="9" t="s">
        <v>94</v>
      </c>
      <c r="F14" s="22" t="s">
        <v>82</v>
      </c>
      <c r="G14" s="22" t="s">
        <v>78</v>
      </c>
      <c r="H14" s="22" t="s">
        <v>36</v>
      </c>
      <c r="I14" s="22">
        <v>200</v>
      </c>
    </row>
    <row r="15" spans="1:9" ht="20.25" customHeight="1" x14ac:dyDescent="0.2">
      <c r="A15" s="6" t="s">
        <v>95</v>
      </c>
      <c r="B15" s="6" t="s">
        <v>41</v>
      </c>
      <c r="C15" s="6" t="s">
        <v>62</v>
      </c>
      <c r="D15" s="6" t="s">
        <v>96</v>
      </c>
      <c r="E15" s="6" t="s">
        <v>97</v>
      </c>
      <c r="F15" s="22" t="s">
        <v>82</v>
      </c>
      <c r="G15" s="22" t="s">
        <v>78</v>
      </c>
      <c r="H15" s="22" t="s">
        <v>36</v>
      </c>
      <c r="I15" s="22">
        <v>200</v>
      </c>
    </row>
    <row r="16" spans="1:9" ht="18.75" customHeight="1" x14ac:dyDescent="0.2">
      <c r="A16" s="9" t="s">
        <v>98</v>
      </c>
      <c r="B16" s="9" t="s">
        <v>43</v>
      </c>
      <c r="C16" s="9" t="s">
        <v>62</v>
      </c>
      <c r="D16" s="9" t="s">
        <v>99</v>
      </c>
      <c r="E16" s="9" t="s">
        <v>100</v>
      </c>
      <c r="F16" s="22" t="s">
        <v>82</v>
      </c>
      <c r="G16" s="22" t="s">
        <v>78</v>
      </c>
      <c r="H16" s="22" t="s">
        <v>36</v>
      </c>
      <c r="I16" s="22">
        <v>200</v>
      </c>
    </row>
    <row r="17" spans="1:9" ht="18.75" customHeight="1" x14ac:dyDescent="0.2">
      <c r="A17" s="6" t="s">
        <v>101</v>
      </c>
      <c r="B17" s="6" t="s">
        <v>43</v>
      </c>
      <c r="C17" s="6" t="s">
        <v>75</v>
      </c>
      <c r="D17" s="6" t="s">
        <v>102</v>
      </c>
      <c r="E17" s="6" t="s">
        <v>94</v>
      </c>
      <c r="F17" s="22" t="s">
        <v>82</v>
      </c>
      <c r="G17" s="22" t="s">
        <v>78</v>
      </c>
      <c r="H17" s="22" t="s">
        <v>36</v>
      </c>
      <c r="I17" s="22">
        <v>200</v>
      </c>
    </row>
    <row r="18" spans="1:9" ht="18.75" customHeight="1" x14ac:dyDescent="0.2">
      <c r="A18" s="9" t="s">
        <v>103</v>
      </c>
      <c r="B18" s="9" t="s">
        <v>45</v>
      </c>
      <c r="C18" s="9" t="s">
        <v>62</v>
      </c>
      <c r="D18" s="9" t="s">
        <v>104</v>
      </c>
      <c r="E18" s="9" t="s">
        <v>105</v>
      </c>
      <c r="F18" s="22" t="s">
        <v>82</v>
      </c>
      <c r="G18" s="22" t="s">
        <v>78</v>
      </c>
      <c r="H18" s="22" t="s">
        <v>36</v>
      </c>
      <c r="I18" s="22">
        <v>200</v>
      </c>
    </row>
    <row r="19" spans="1:9" ht="18.75" customHeight="1" x14ac:dyDescent="0.2">
      <c r="A19" s="6" t="s">
        <v>106</v>
      </c>
      <c r="B19" s="6" t="s">
        <v>45</v>
      </c>
      <c r="C19" s="6" t="s">
        <v>75</v>
      </c>
      <c r="D19" s="6" t="s">
        <v>107</v>
      </c>
      <c r="E19" s="6" t="s">
        <v>94</v>
      </c>
      <c r="F19" s="22" t="s">
        <v>82</v>
      </c>
      <c r="G19" s="22" t="s">
        <v>78</v>
      </c>
      <c r="H19" s="22" t="s">
        <v>36</v>
      </c>
      <c r="I19" s="22">
        <v>200</v>
      </c>
    </row>
    <row r="20" spans="1:9" ht="18.75" customHeight="1" x14ac:dyDescent="0.2">
      <c r="A20" s="9" t="s">
        <v>108</v>
      </c>
      <c r="B20" s="9" t="s">
        <v>45</v>
      </c>
      <c r="C20" s="9" t="s">
        <v>75</v>
      </c>
      <c r="D20" s="9" t="s">
        <v>109</v>
      </c>
      <c r="E20" s="9" t="s">
        <v>110</v>
      </c>
      <c r="F20" s="22" t="s">
        <v>82</v>
      </c>
      <c r="G20" s="22" t="s">
        <v>78</v>
      </c>
      <c r="H20" s="22" t="s">
        <v>36</v>
      </c>
      <c r="I20" s="22">
        <v>200</v>
      </c>
    </row>
    <row r="21" spans="1:9" ht="18.75" customHeight="1" x14ac:dyDescent="0.2">
      <c r="A21" s="6" t="s">
        <v>111</v>
      </c>
      <c r="B21" s="6" t="s">
        <v>45</v>
      </c>
      <c r="C21" s="6" t="s">
        <v>87</v>
      </c>
      <c r="D21" s="6" t="s">
        <v>109</v>
      </c>
      <c r="E21" s="6" t="s">
        <v>110</v>
      </c>
      <c r="F21" s="22" t="s">
        <v>82</v>
      </c>
      <c r="G21" s="22" t="s">
        <v>78</v>
      </c>
      <c r="H21" s="22" t="s">
        <v>36</v>
      </c>
      <c r="I21" s="22">
        <v>200</v>
      </c>
    </row>
    <row r="22" spans="1:9" ht="18.75" customHeight="1" x14ac:dyDescent="0.2">
      <c r="A22" s="9" t="s">
        <v>112</v>
      </c>
      <c r="B22" s="9" t="s">
        <v>45</v>
      </c>
      <c r="C22" s="9" t="s">
        <v>113</v>
      </c>
      <c r="D22" s="9" t="s">
        <v>109</v>
      </c>
      <c r="E22" s="9" t="s">
        <v>110</v>
      </c>
      <c r="F22" s="22" t="s">
        <v>65</v>
      </c>
      <c r="G22" s="22" t="s">
        <v>78</v>
      </c>
      <c r="H22" s="22" t="s">
        <v>36</v>
      </c>
      <c r="I22" s="22">
        <v>200</v>
      </c>
    </row>
    <row r="23" spans="1:9" ht="18.75" customHeight="1" x14ac:dyDescent="0.2">
      <c r="A23" s="6" t="s">
        <v>114</v>
      </c>
      <c r="B23" s="6" t="s">
        <v>45</v>
      </c>
      <c r="C23" s="6" t="s">
        <v>62</v>
      </c>
      <c r="D23" s="6" t="s">
        <v>115</v>
      </c>
      <c r="E23" s="6" t="s">
        <v>116</v>
      </c>
      <c r="F23" s="22" t="s">
        <v>82</v>
      </c>
      <c r="G23" s="22" t="s">
        <v>78</v>
      </c>
      <c r="H23" s="22" t="s">
        <v>36</v>
      </c>
      <c r="I23" s="22">
        <v>200</v>
      </c>
    </row>
    <row r="24" spans="1:9" ht="18.75" customHeight="1" x14ac:dyDescent="0.2">
      <c r="A24" s="9" t="s">
        <v>117</v>
      </c>
      <c r="B24" s="9" t="s">
        <v>45</v>
      </c>
      <c r="C24" s="9" t="s">
        <v>75</v>
      </c>
      <c r="D24" s="9" t="s">
        <v>118</v>
      </c>
      <c r="E24" s="9" t="s">
        <v>119</v>
      </c>
      <c r="F24" s="22" t="s">
        <v>82</v>
      </c>
      <c r="G24" s="22" t="s">
        <v>78</v>
      </c>
      <c r="H24" s="22" t="s">
        <v>36</v>
      </c>
      <c r="I24" s="22">
        <v>200</v>
      </c>
    </row>
    <row r="25" spans="1:9" ht="18.75" customHeight="1" x14ac:dyDescent="0.2">
      <c r="A25" s="6" t="s">
        <v>120</v>
      </c>
      <c r="B25" s="6" t="s">
        <v>45</v>
      </c>
      <c r="C25" s="6" t="s">
        <v>87</v>
      </c>
      <c r="D25" s="6" t="s">
        <v>118</v>
      </c>
      <c r="E25" s="6" t="s">
        <v>119</v>
      </c>
      <c r="F25" s="22" t="s">
        <v>82</v>
      </c>
      <c r="G25" s="22" t="s">
        <v>78</v>
      </c>
      <c r="H25" s="22" t="s">
        <v>36</v>
      </c>
      <c r="I25" s="22">
        <v>200</v>
      </c>
    </row>
    <row r="26" spans="1:9" ht="18.75" customHeight="1" x14ac:dyDescent="0.2">
      <c r="A26" s="9" t="s">
        <v>121</v>
      </c>
      <c r="B26" s="9" t="s">
        <v>46</v>
      </c>
      <c r="C26" s="9" t="s">
        <v>62</v>
      </c>
      <c r="D26" s="9" t="s">
        <v>122</v>
      </c>
      <c r="E26" s="9" t="s">
        <v>123</v>
      </c>
      <c r="F26" s="22" t="s">
        <v>82</v>
      </c>
      <c r="G26" s="22" t="s">
        <v>78</v>
      </c>
      <c r="H26" s="22" t="s">
        <v>36</v>
      </c>
      <c r="I26" s="22">
        <v>200</v>
      </c>
    </row>
    <row r="27" spans="1:9" ht="18.75" customHeight="1" x14ac:dyDescent="0.2">
      <c r="A27" s="6" t="s">
        <v>124</v>
      </c>
      <c r="B27" s="6" t="s">
        <v>46</v>
      </c>
      <c r="C27" s="6" t="s">
        <v>75</v>
      </c>
      <c r="D27" s="6" t="s">
        <v>125</v>
      </c>
      <c r="E27" s="6" t="s">
        <v>94</v>
      </c>
      <c r="F27" s="22" t="s">
        <v>82</v>
      </c>
      <c r="G27" s="22" t="s">
        <v>78</v>
      </c>
      <c r="H27" s="22" t="s">
        <v>36</v>
      </c>
      <c r="I27" s="22">
        <v>200</v>
      </c>
    </row>
    <row r="28" spans="1:9" ht="18.75" customHeight="1" x14ac:dyDescent="0.2">
      <c r="A28" s="9" t="s">
        <v>126</v>
      </c>
      <c r="B28" s="9" t="s">
        <v>46</v>
      </c>
      <c r="C28" s="9" t="s">
        <v>87</v>
      </c>
      <c r="D28" s="9" t="s">
        <v>127</v>
      </c>
      <c r="E28" s="9" t="s">
        <v>128</v>
      </c>
      <c r="F28" s="22" t="s">
        <v>82</v>
      </c>
      <c r="G28" s="22" t="s">
        <v>78</v>
      </c>
      <c r="H28" s="22" t="s">
        <v>36</v>
      </c>
      <c r="I28" s="22">
        <v>200</v>
      </c>
    </row>
    <row r="29" spans="1:9" ht="18.75" customHeight="1" x14ac:dyDescent="0.2">
      <c r="A29" s="6" t="s">
        <v>129</v>
      </c>
      <c r="B29" s="6" t="s">
        <v>46</v>
      </c>
      <c r="C29" s="6" t="s">
        <v>62</v>
      </c>
      <c r="D29" s="6" t="s">
        <v>130</v>
      </c>
      <c r="E29" s="6" t="s">
        <v>131</v>
      </c>
      <c r="F29" s="22" t="s">
        <v>82</v>
      </c>
      <c r="G29" s="22" t="s">
        <v>78</v>
      </c>
      <c r="H29" s="24" t="s">
        <v>37</v>
      </c>
      <c r="I29" s="22">
        <v>422</v>
      </c>
    </row>
    <row r="30" spans="1:9" ht="18.75" customHeight="1" x14ac:dyDescent="0.2">
      <c r="A30" s="9" t="s">
        <v>132</v>
      </c>
      <c r="B30" s="9" t="s">
        <v>46</v>
      </c>
      <c r="C30" s="9" t="s">
        <v>62</v>
      </c>
      <c r="D30" s="9" t="s">
        <v>133</v>
      </c>
      <c r="E30" s="9" t="s">
        <v>134</v>
      </c>
      <c r="F30" s="22" t="s">
        <v>82</v>
      </c>
      <c r="G30" s="22" t="s">
        <v>78</v>
      </c>
      <c r="H30" s="24" t="s">
        <v>37</v>
      </c>
      <c r="I30" s="22">
        <v>422</v>
      </c>
    </row>
    <row r="31" spans="1:9" ht="18.75" customHeight="1" x14ac:dyDescent="0.2">
      <c r="A31" s="6" t="s">
        <v>135</v>
      </c>
      <c r="B31" s="6" t="s">
        <v>46</v>
      </c>
      <c r="C31" s="6" t="s">
        <v>75</v>
      </c>
      <c r="D31" s="6" t="s">
        <v>136</v>
      </c>
      <c r="E31" s="6" t="s">
        <v>137</v>
      </c>
      <c r="F31" s="22" t="s">
        <v>82</v>
      </c>
      <c r="G31" s="22" t="s">
        <v>78</v>
      </c>
      <c r="H31" s="22" t="s">
        <v>36</v>
      </c>
      <c r="I31" s="22">
        <v>200</v>
      </c>
    </row>
    <row r="32" spans="1:9" ht="18.75" customHeight="1" x14ac:dyDescent="0.2">
      <c r="A32" s="9" t="s">
        <v>138</v>
      </c>
      <c r="B32" s="9" t="s">
        <v>47</v>
      </c>
      <c r="C32" s="9" t="s">
        <v>62</v>
      </c>
      <c r="D32" s="9" t="s">
        <v>139</v>
      </c>
      <c r="E32" s="9" t="s">
        <v>140</v>
      </c>
      <c r="F32" s="22" t="s">
        <v>65</v>
      </c>
      <c r="G32" s="22" t="s">
        <v>78</v>
      </c>
      <c r="H32" s="24" t="s">
        <v>37</v>
      </c>
      <c r="I32" s="22">
        <v>422</v>
      </c>
    </row>
    <row r="33" spans="1:9" ht="18.75" customHeight="1" x14ac:dyDescent="0.2">
      <c r="A33" s="6" t="s">
        <v>141</v>
      </c>
      <c r="B33" s="6" t="s">
        <v>47</v>
      </c>
      <c r="C33" s="6" t="s">
        <v>62</v>
      </c>
      <c r="D33" s="6" t="s">
        <v>142</v>
      </c>
      <c r="E33" s="6" t="s">
        <v>143</v>
      </c>
      <c r="F33" s="22" t="s">
        <v>65</v>
      </c>
      <c r="G33" s="22" t="s">
        <v>78</v>
      </c>
      <c r="H33" s="22" t="s">
        <v>36</v>
      </c>
      <c r="I33" s="22">
        <v>200</v>
      </c>
    </row>
    <row r="34" spans="1:9" ht="18.75" customHeight="1" x14ac:dyDescent="0.2">
      <c r="A34" s="9" t="s">
        <v>144</v>
      </c>
      <c r="B34" s="9" t="s">
        <v>47</v>
      </c>
      <c r="C34" s="9" t="s">
        <v>62</v>
      </c>
      <c r="D34" s="9" t="s">
        <v>145</v>
      </c>
      <c r="E34" s="9" t="s">
        <v>146</v>
      </c>
      <c r="F34" s="22" t="s">
        <v>65</v>
      </c>
      <c r="G34" s="22" t="s">
        <v>78</v>
      </c>
      <c r="H34" s="22" t="s">
        <v>36</v>
      </c>
      <c r="I34" s="22">
        <v>200</v>
      </c>
    </row>
    <row r="35" spans="1:9" ht="18.75" customHeight="1" x14ac:dyDescent="0.2">
      <c r="A35" s="6" t="s">
        <v>147</v>
      </c>
      <c r="B35" s="6" t="s">
        <v>47</v>
      </c>
      <c r="C35" s="6" t="s">
        <v>75</v>
      </c>
      <c r="D35" s="6" t="s">
        <v>148</v>
      </c>
      <c r="E35" s="6" t="s">
        <v>110</v>
      </c>
      <c r="F35" s="22" t="s">
        <v>65</v>
      </c>
      <c r="G35" s="22" t="s">
        <v>78</v>
      </c>
      <c r="H35" s="22" t="s">
        <v>36</v>
      </c>
      <c r="I35" s="22">
        <v>200</v>
      </c>
    </row>
    <row r="36" spans="1:9" ht="18.75" customHeight="1" x14ac:dyDescent="0.2">
      <c r="A36" s="9" t="s">
        <v>149</v>
      </c>
      <c r="B36" s="9" t="s">
        <v>48</v>
      </c>
      <c r="C36" s="9" t="s">
        <v>62</v>
      </c>
      <c r="D36" s="9" t="s">
        <v>150</v>
      </c>
      <c r="E36" s="9" t="s">
        <v>151</v>
      </c>
      <c r="F36" s="22" t="s">
        <v>82</v>
      </c>
      <c r="G36" s="22" t="s">
        <v>78</v>
      </c>
      <c r="H36" s="22" t="s">
        <v>36</v>
      </c>
      <c r="I36" s="22">
        <v>200</v>
      </c>
    </row>
    <row r="37" spans="1:9" ht="18.75" customHeight="1" x14ac:dyDescent="0.2">
      <c r="A37" s="6" t="s">
        <v>152</v>
      </c>
      <c r="B37" s="6" t="s">
        <v>48</v>
      </c>
      <c r="C37" s="6" t="s">
        <v>75</v>
      </c>
      <c r="D37" s="6" t="s">
        <v>153</v>
      </c>
      <c r="E37" s="6" t="s">
        <v>154</v>
      </c>
      <c r="F37" s="22" t="s">
        <v>82</v>
      </c>
      <c r="G37" s="22" t="s">
        <v>78</v>
      </c>
      <c r="H37" s="24" t="s">
        <v>42</v>
      </c>
      <c r="I37" s="22"/>
    </row>
    <row r="38" spans="1:9" ht="18.75" customHeight="1" x14ac:dyDescent="0.2">
      <c r="A38" s="9" t="s">
        <v>155</v>
      </c>
      <c r="B38" s="9" t="s">
        <v>49</v>
      </c>
      <c r="C38" s="9" t="s">
        <v>62</v>
      </c>
      <c r="D38" s="9" t="s">
        <v>156</v>
      </c>
      <c r="E38" s="9" t="s">
        <v>157</v>
      </c>
      <c r="F38" s="22" t="s">
        <v>65</v>
      </c>
      <c r="G38" s="22" t="s">
        <v>78</v>
      </c>
      <c r="H38" s="22" t="s">
        <v>36</v>
      </c>
      <c r="I38" s="22" t="s">
        <v>67</v>
      </c>
    </row>
    <row r="39" spans="1:9" ht="18.75" customHeight="1" x14ac:dyDescent="0.2">
      <c r="A39" s="9" t="s">
        <v>158</v>
      </c>
      <c r="B39" s="9" t="s">
        <v>49</v>
      </c>
      <c r="C39" s="9" t="s">
        <v>62</v>
      </c>
      <c r="D39" s="9" t="s">
        <v>160</v>
      </c>
      <c r="E39" s="9" t="s">
        <v>140</v>
      </c>
      <c r="F39" s="22" t="s">
        <v>65</v>
      </c>
      <c r="G39" s="22" t="s">
        <v>78</v>
      </c>
      <c r="H39" s="22" t="s">
        <v>36</v>
      </c>
      <c r="I39" s="22" t="s">
        <v>67</v>
      </c>
    </row>
    <row r="40" spans="1:9" x14ac:dyDescent="0.2">
      <c r="A40" s="9" t="s">
        <v>159</v>
      </c>
      <c r="B40" s="6" t="s">
        <v>50</v>
      </c>
      <c r="C40" s="6" t="s">
        <v>75</v>
      </c>
      <c r="D40" s="6" t="s">
        <v>162</v>
      </c>
      <c r="E40" s="6"/>
      <c r="F40" s="22" t="s">
        <v>82</v>
      </c>
      <c r="G40" s="22" t="s">
        <v>163</v>
      </c>
      <c r="H40" s="22" t="s">
        <v>36</v>
      </c>
      <c r="I40" s="22" t="s">
        <v>67</v>
      </c>
    </row>
    <row r="41" spans="1:9" x14ac:dyDescent="0.2">
      <c r="A41" s="9" t="s">
        <v>161</v>
      </c>
      <c r="B41" s="9" t="s">
        <v>50</v>
      </c>
      <c r="C41" s="9" t="s">
        <v>75</v>
      </c>
      <c r="D41" s="9" t="s">
        <v>164</v>
      </c>
      <c r="E41" s="9" t="s">
        <v>165</v>
      </c>
      <c r="F41" s="22" t="s">
        <v>82</v>
      </c>
      <c r="G41" s="22" t="s">
        <v>163</v>
      </c>
      <c r="H41" s="22" t="s">
        <v>36</v>
      </c>
      <c r="I41" s="22" t="s">
        <v>67</v>
      </c>
    </row>
  </sheetData>
  <autoFilter ref="A4:I41" xr:uid="{00000000-0009-0000-0000-000002000000}"/>
  <mergeCells count="3">
    <mergeCell ref="H6:I6"/>
    <mergeCell ref="A1:I1"/>
    <mergeCell ref="A2:I2"/>
  </mergeCells>
  <phoneticPr fontId="2" type="noConversion"/>
  <conditionalFormatting sqref="H5:H41">
    <cfRule type="expression" dxfId="5" priority="1">
      <formula>H5="Passed"</formula>
    </cfRule>
    <cfRule type="expression" dxfId="4" priority="2">
      <formula>H5="Failed"</formula>
    </cfRule>
    <cfRule type="expression" dxfId="3" priority="3">
      <formula>H5="Blocked"</formula>
    </cfRule>
  </conditionalFormatting>
  <dataValidations count="3">
    <dataValidation type="list" sqref="H5:H41" xr:uid="{00000000-0002-0000-0200-000000000000}">
      <formula1>"Not Run,Passed,Failed,Blocked,Skipped"</formula1>
    </dataValidation>
    <dataValidation type="list" allowBlank="1" sqref="F5:F41" xr:uid="{00000000-0002-0000-0200-000001000000}">
      <formula1>"High,Medium,Low"</formula1>
    </dataValidation>
    <dataValidation type="list" allowBlank="1" sqref="G5:G41" xr:uid="{00000000-0002-0000-0200-000002000000}">
      <formula1>"Yes,No,No / verify route policy"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45"/>
  <sheetViews>
    <sheetView showGridLines="0" topLeftCell="E1" workbookViewId="0">
      <pane ySplit="3" topLeftCell="A28" activePane="bottomLeft" state="frozen"/>
      <selection pane="bottomLeft" activeCell="H32" sqref="H32"/>
    </sheetView>
  </sheetViews>
  <sheetFormatPr defaultRowHeight="15" x14ac:dyDescent="0.25"/>
  <cols>
    <col min="1" max="1" width="13" customWidth="1"/>
    <col min="2" max="2" width="18" customWidth="1"/>
    <col min="3" max="3" width="31" customWidth="1"/>
    <col min="4" max="4" width="37" customWidth="1"/>
    <col min="5" max="5" width="42" customWidth="1"/>
    <col min="6" max="6" width="45" customWidth="1"/>
    <col min="7" max="7" width="40" customWidth="1"/>
    <col min="8" max="8" width="14" customWidth="1"/>
    <col min="9" max="9" width="13" customWidth="1"/>
  </cols>
  <sheetData>
    <row r="1" spans="1:9" ht="30" customHeight="1" x14ac:dyDescent="0.25">
      <c r="A1" s="21" t="s">
        <v>166</v>
      </c>
      <c r="B1" s="12"/>
      <c r="C1" s="12"/>
      <c r="D1" s="12"/>
      <c r="E1" s="12"/>
      <c r="F1" s="12"/>
      <c r="G1" s="12"/>
      <c r="H1" s="12"/>
      <c r="I1" s="12"/>
    </row>
    <row r="3" spans="1:9" x14ac:dyDescent="0.25">
      <c r="A3" s="10" t="s">
        <v>167</v>
      </c>
      <c r="B3" s="10" t="s">
        <v>168</v>
      </c>
      <c r="C3" s="10" t="s">
        <v>169</v>
      </c>
      <c r="D3" s="10" t="s">
        <v>170</v>
      </c>
      <c r="E3" s="10" t="s">
        <v>171</v>
      </c>
      <c r="F3" s="10" t="s">
        <v>60</v>
      </c>
      <c r="G3" s="10" t="s">
        <v>172</v>
      </c>
      <c r="H3" s="10" t="s">
        <v>173</v>
      </c>
      <c r="I3" s="10" t="s">
        <v>174</v>
      </c>
    </row>
    <row r="4" spans="1:9" ht="30" x14ac:dyDescent="0.25">
      <c r="A4" s="9" t="s">
        <v>175</v>
      </c>
      <c r="B4" s="9" t="s">
        <v>176</v>
      </c>
      <c r="C4" s="9" t="s">
        <v>177</v>
      </c>
      <c r="D4" s="9" t="s">
        <v>178</v>
      </c>
      <c r="E4" s="9" t="s">
        <v>179</v>
      </c>
      <c r="F4" s="9" t="s">
        <v>180</v>
      </c>
      <c r="G4" s="9"/>
      <c r="H4" s="9" t="s">
        <v>36</v>
      </c>
      <c r="I4" s="9" t="s">
        <v>82</v>
      </c>
    </row>
    <row r="5" spans="1:9" ht="30" x14ac:dyDescent="0.25">
      <c r="A5" s="6" t="s">
        <v>181</v>
      </c>
      <c r="B5" s="6" t="s">
        <v>176</v>
      </c>
      <c r="C5" s="6" t="s">
        <v>182</v>
      </c>
      <c r="D5" s="6" t="s">
        <v>183</v>
      </c>
      <c r="E5" s="6" t="s">
        <v>184</v>
      </c>
      <c r="F5" s="6" t="s">
        <v>185</v>
      </c>
      <c r="G5" s="6"/>
      <c r="H5" s="6" t="s">
        <v>36</v>
      </c>
      <c r="I5" s="6" t="s">
        <v>82</v>
      </c>
    </row>
    <row r="6" spans="1:9" ht="30" x14ac:dyDescent="0.25">
      <c r="A6" s="9" t="s">
        <v>186</v>
      </c>
      <c r="B6" s="9" t="s">
        <v>39</v>
      </c>
      <c r="C6" s="9" t="s">
        <v>187</v>
      </c>
      <c r="D6" s="9" t="s">
        <v>188</v>
      </c>
      <c r="E6" s="9" t="s">
        <v>189</v>
      </c>
      <c r="F6" s="9" t="s">
        <v>190</v>
      </c>
      <c r="G6" s="9"/>
      <c r="H6" s="9" t="s">
        <v>36</v>
      </c>
      <c r="I6" s="9" t="s">
        <v>82</v>
      </c>
    </row>
    <row r="7" spans="1:9" ht="30" x14ac:dyDescent="0.25">
      <c r="A7" s="6" t="s">
        <v>191</v>
      </c>
      <c r="B7" s="6" t="s">
        <v>39</v>
      </c>
      <c r="C7" s="6" t="s">
        <v>192</v>
      </c>
      <c r="D7" s="6" t="s">
        <v>193</v>
      </c>
      <c r="E7" s="6" t="s">
        <v>194</v>
      </c>
      <c r="F7" s="6" t="s">
        <v>195</v>
      </c>
      <c r="G7" s="6"/>
      <c r="H7" s="6" t="s">
        <v>36</v>
      </c>
      <c r="I7" s="6" t="s">
        <v>82</v>
      </c>
    </row>
    <row r="8" spans="1:9" x14ac:dyDescent="0.25">
      <c r="A8" s="9" t="s">
        <v>196</v>
      </c>
      <c r="B8" s="9" t="s">
        <v>39</v>
      </c>
      <c r="C8" s="9" t="s">
        <v>197</v>
      </c>
      <c r="D8" s="9" t="s">
        <v>198</v>
      </c>
      <c r="E8" s="9" t="s">
        <v>199</v>
      </c>
      <c r="F8" s="9" t="s">
        <v>200</v>
      </c>
      <c r="G8" s="9"/>
      <c r="H8" s="9" t="s">
        <v>36</v>
      </c>
      <c r="I8" s="9" t="s">
        <v>82</v>
      </c>
    </row>
    <row r="9" spans="1:9" ht="30" x14ac:dyDescent="0.25">
      <c r="A9" s="6" t="s">
        <v>201</v>
      </c>
      <c r="B9" s="6" t="s">
        <v>39</v>
      </c>
      <c r="C9" s="6" t="s">
        <v>202</v>
      </c>
      <c r="D9" s="6" t="s">
        <v>203</v>
      </c>
      <c r="E9" s="6" t="s">
        <v>204</v>
      </c>
      <c r="F9" s="6" t="s">
        <v>205</v>
      </c>
      <c r="G9" s="6"/>
      <c r="H9" s="6" t="s">
        <v>36</v>
      </c>
      <c r="I9" s="6" t="s">
        <v>82</v>
      </c>
    </row>
    <row r="10" spans="1:9" x14ac:dyDescent="0.25">
      <c r="A10" s="9" t="s">
        <v>206</v>
      </c>
      <c r="B10" s="9" t="s">
        <v>39</v>
      </c>
      <c r="C10" s="9" t="s">
        <v>207</v>
      </c>
      <c r="D10" s="9" t="s">
        <v>208</v>
      </c>
      <c r="E10" s="9" t="s">
        <v>209</v>
      </c>
      <c r="F10" s="9" t="s">
        <v>210</v>
      </c>
      <c r="G10" s="9"/>
      <c r="H10" s="9" t="s">
        <v>36</v>
      </c>
      <c r="I10" s="9" t="s">
        <v>82</v>
      </c>
    </row>
    <row r="11" spans="1:9" x14ac:dyDescent="0.25">
      <c r="A11" s="6" t="s">
        <v>211</v>
      </c>
      <c r="B11" s="6" t="s">
        <v>39</v>
      </c>
      <c r="C11" s="6" t="s">
        <v>212</v>
      </c>
      <c r="D11" s="6" t="s">
        <v>213</v>
      </c>
      <c r="E11" s="6" t="s">
        <v>214</v>
      </c>
      <c r="F11" s="6" t="s">
        <v>215</v>
      </c>
      <c r="G11" s="6"/>
      <c r="H11" s="6" t="s">
        <v>36</v>
      </c>
      <c r="I11" s="6" t="s">
        <v>82</v>
      </c>
    </row>
    <row r="12" spans="1:9" x14ac:dyDescent="0.25">
      <c r="A12" s="9" t="s">
        <v>216</v>
      </c>
      <c r="B12" s="9" t="s">
        <v>217</v>
      </c>
      <c r="C12" s="9" t="s">
        <v>218</v>
      </c>
      <c r="D12" s="9" t="s">
        <v>219</v>
      </c>
      <c r="E12" s="9" t="s">
        <v>220</v>
      </c>
      <c r="F12" s="9" t="s">
        <v>221</v>
      </c>
      <c r="G12" s="9"/>
      <c r="H12" s="9" t="s">
        <v>36</v>
      </c>
      <c r="I12" s="9" t="s">
        <v>82</v>
      </c>
    </row>
    <row r="13" spans="1:9" x14ac:dyDescent="0.25">
      <c r="A13" s="6" t="s">
        <v>222</v>
      </c>
      <c r="B13" s="6" t="s">
        <v>41</v>
      </c>
      <c r="C13" s="6" t="s">
        <v>223</v>
      </c>
      <c r="D13" s="6" t="s">
        <v>224</v>
      </c>
      <c r="E13" s="6" t="s">
        <v>225</v>
      </c>
      <c r="F13" s="6" t="s">
        <v>226</v>
      </c>
      <c r="G13" s="6"/>
      <c r="H13" s="6" t="s">
        <v>36</v>
      </c>
      <c r="I13" s="6" t="s">
        <v>82</v>
      </c>
    </row>
    <row r="14" spans="1:9" ht="30" x14ac:dyDescent="0.25">
      <c r="A14" s="9" t="s">
        <v>227</v>
      </c>
      <c r="B14" s="9" t="s">
        <v>41</v>
      </c>
      <c r="C14" s="9" t="s">
        <v>228</v>
      </c>
      <c r="D14" s="9" t="s">
        <v>229</v>
      </c>
      <c r="E14" s="9" t="s">
        <v>230</v>
      </c>
      <c r="F14" s="9" t="s">
        <v>231</v>
      </c>
      <c r="G14" s="9"/>
      <c r="H14" s="9" t="s">
        <v>36</v>
      </c>
      <c r="I14" s="9" t="s">
        <v>82</v>
      </c>
    </row>
    <row r="15" spans="1:9" x14ac:dyDescent="0.25">
      <c r="A15" s="6" t="s">
        <v>232</v>
      </c>
      <c r="B15" s="6" t="s">
        <v>43</v>
      </c>
      <c r="C15" s="6" t="s">
        <v>233</v>
      </c>
      <c r="D15" s="6" t="s">
        <v>234</v>
      </c>
      <c r="E15" s="6" t="s">
        <v>235</v>
      </c>
      <c r="F15" s="6" t="s">
        <v>236</v>
      </c>
      <c r="G15" s="6"/>
      <c r="H15" s="6" t="s">
        <v>36</v>
      </c>
      <c r="I15" s="6" t="s">
        <v>82</v>
      </c>
    </row>
    <row r="16" spans="1:9" x14ac:dyDescent="0.25">
      <c r="A16" s="9" t="s">
        <v>237</v>
      </c>
      <c r="B16" s="9" t="s">
        <v>45</v>
      </c>
      <c r="C16" s="9" t="s">
        <v>238</v>
      </c>
      <c r="D16" s="9" t="s">
        <v>239</v>
      </c>
      <c r="E16" s="9" t="s">
        <v>240</v>
      </c>
      <c r="F16" s="9" t="s">
        <v>241</v>
      </c>
      <c r="G16" s="9"/>
      <c r="H16" s="9" t="s">
        <v>36</v>
      </c>
      <c r="I16" s="9" t="s">
        <v>82</v>
      </c>
    </row>
    <row r="17" spans="1:9" x14ac:dyDescent="0.25">
      <c r="A17" s="6" t="s">
        <v>242</v>
      </c>
      <c r="B17" s="6" t="s">
        <v>45</v>
      </c>
      <c r="C17" s="6" t="s">
        <v>243</v>
      </c>
      <c r="D17" s="6" t="s">
        <v>244</v>
      </c>
      <c r="E17" s="6" t="s">
        <v>245</v>
      </c>
      <c r="F17" s="6" t="s">
        <v>246</v>
      </c>
      <c r="G17" s="6"/>
      <c r="H17" s="6" t="s">
        <v>38</v>
      </c>
      <c r="I17" s="6" t="s">
        <v>82</v>
      </c>
    </row>
    <row r="18" spans="1:9" x14ac:dyDescent="0.25">
      <c r="A18" s="9" t="s">
        <v>247</v>
      </c>
      <c r="B18" s="9" t="s">
        <v>45</v>
      </c>
      <c r="C18" s="9" t="s">
        <v>248</v>
      </c>
      <c r="D18" s="9" t="s">
        <v>249</v>
      </c>
      <c r="E18" s="9" t="s">
        <v>250</v>
      </c>
      <c r="F18" s="9" t="s">
        <v>251</v>
      </c>
      <c r="G18" s="9"/>
      <c r="H18" s="9" t="s">
        <v>38</v>
      </c>
      <c r="I18" s="9" t="s">
        <v>82</v>
      </c>
    </row>
    <row r="19" spans="1:9" x14ac:dyDescent="0.25">
      <c r="A19" s="6" t="s">
        <v>252</v>
      </c>
      <c r="B19" s="6" t="s">
        <v>45</v>
      </c>
      <c r="C19" s="6" t="s">
        <v>253</v>
      </c>
      <c r="D19" s="6" t="s">
        <v>254</v>
      </c>
      <c r="E19" s="6" t="s">
        <v>255</v>
      </c>
      <c r="F19" s="6" t="s">
        <v>256</v>
      </c>
      <c r="G19" s="6"/>
      <c r="H19" s="6" t="s">
        <v>38</v>
      </c>
      <c r="I19" s="6" t="s">
        <v>82</v>
      </c>
    </row>
    <row r="20" spans="1:9" x14ac:dyDescent="0.25">
      <c r="A20" s="9" t="s">
        <v>257</v>
      </c>
      <c r="B20" s="9" t="s">
        <v>258</v>
      </c>
      <c r="C20" s="9" t="s">
        <v>259</v>
      </c>
      <c r="D20" s="9" t="s">
        <v>260</v>
      </c>
      <c r="E20" s="9" t="s">
        <v>261</v>
      </c>
      <c r="F20" s="9" t="s">
        <v>262</v>
      </c>
      <c r="G20" s="9"/>
      <c r="H20" s="9" t="s">
        <v>38</v>
      </c>
      <c r="I20" s="9" t="s">
        <v>82</v>
      </c>
    </row>
    <row r="21" spans="1:9" ht="30" x14ac:dyDescent="0.25">
      <c r="A21" s="6" t="s">
        <v>263</v>
      </c>
      <c r="B21" s="6" t="s">
        <v>258</v>
      </c>
      <c r="C21" s="6" t="s">
        <v>264</v>
      </c>
      <c r="D21" s="6" t="s">
        <v>265</v>
      </c>
      <c r="E21" s="6" t="s">
        <v>266</v>
      </c>
      <c r="F21" s="6" t="s">
        <v>267</v>
      </c>
      <c r="G21" s="6"/>
      <c r="H21" s="6" t="s">
        <v>38</v>
      </c>
      <c r="I21" s="6" t="s">
        <v>82</v>
      </c>
    </row>
    <row r="22" spans="1:9" x14ac:dyDescent="0.25">
      <c r="A22" s="9" t="s">
        <v>268</v>
      </c>
      <c r="B22" s="9" t="s">
        <v>46</v>
      </c>
      <c r="C22" s="9" t="s">
        <v>269</v>
      </c>
      <c r="D22" s="9" t="s">
        <v>270</v>
      </c>
      <c r="E22" s="9" t="s">
        <v>271</v>
      </c>
      <c r="F22" s="9" t="s">
        <v>272</v>
      </c>
      <c r="G22" s="9"/>
      <c r="H22" s="9" t="s">
        <v>38</v>
      </c>
      <c r="I22" s="9" t="s">
        <v>82</v>
      </c>
    </row>
    <row r="23" spans="1:9" ht="30" x14ac:dyDescent="0.25">
      <c r="A23" s="6" t="s">
        <v>273</v>
      </c>
      <c r="B23" s="6" t="s">
        <v>46</v>
      </c>
      <c r="C23" s="6" t="s">
        <v>274</v>
      </c>
      <c r="D23" s="6" t="s">
        <v>275</v>
      </c>
      <c r="E23" s="6" t="s">
        <v>276</v>
      </c>
      <c r="F23" s="6" t="s">
        <v>277</v>
      </c>
      <c r="G23" s="6"/>
      <c r="H23" s="6" t="s">
        <v>38</v>
      </c>
      <c r="I23" s="6" t="s">
        <v>82</v>
      </c>
    </row>
    <row r="24" spans="1:9" x14ac:dyDescent="0.25">
      <c r="A24" s="9" t="s">
        <v>278</v>
      </c>
      <c r="B24" s="9" t="s">
        <v>46</v>
      </c>
      <c r="C24" s="9" t="s">
        <v>279</v>
      </c>
      <c r="D24" s="9" t="s">
        <v>280</v>
      </c>
      <c r="E24" s="9" t="s">
        <v>281</v>
      </c>
      <c r="F24" s="9" t="s">
        <v>282</v>
      </c>
      <c r="G24" s="9"/>
      <c r="H24" s="9" t="s">
        <v>38</v>
      </c>
      <c r="I24" s="9" t="s">
        <v>82</v>
      </c>
    </row>
    <row r="25" spans="1:9" ht="30" x14ac:dyDescent="0.25">
      <c r="A25" s="6" t="s">
        <v>283</v>
      </c>
      <c r="B25" s="6" t="s">
        <v>284</v>
      </c>
      <c r="C25" s="6" t="s">
        <v>285</v>
      </c>
      <c r="D25" s="6" t="s">
        <v>286</v>
      </c>
      <c r="E25" s="6" t="s">
        <v>287</v>
      </c>
      <c r="F25" s="6" t="s">
        <v>288</v>
      </c>
      <c r="G25" s="6"/>
      <c r="H25" s="6" t="s">
        <v>38</v>
      </c>
      <c r="I25" s="6" t="s">
        <v>82</v>
      </c>
    </row>
    <row r="26" spans="1:9" ht="45" x14ac:dyDescent="0.25">
      <c r="A26" s="9" t="s">
        <v>289</v>
      </c>
      <c r="B26" s="9" t="s">
        <v>284</v>
      </c>
      <c r="C26" s="9" t="s">
        <v>290</v>
      </c>
      <c r="D26" s="9" t="s">
        <v>291</v>
      </c>
      <c r="E26" s="9" t="s">
        <v>292</v>
      </c>
      <c r="F26" s="9" t="s">
        <v>293</v>
      </c>
      <c r="G26" s="9"/>
      <c r="H26" s="9" t="s">
        <v>38</v>
      </c>
      <c r="I26" s="9" t="s">
        <v>82</v>
      </c>
    </row>
    <row r="27" spans="1:9" x14ac:dyDescent="0.25">
      <c r="A27" s="6" t="s">
        <v>294</v>
      </c>
      <c r="B27" s="6" t="s">
        <v>48</v>
      </c>
      <c r="C27" s="6" t="s">
        <v>295</v>
      </c>
      <c r="D27" s="6" t="s">
        <v>296</v>
      </c>
      <c r="E27" s="6" t="s">
        <v>297</v>
      </c>
      <c r="F27" s="6" t="s">
        <v>298</v>
      </c>
      <c r="G27" s="6"/>
      <c r="H27" s="6" t="s">
        <v>38</v>
      </c>
      <c r="I27" s="6" t="s">
        <v>82</v>
      </c>
    </row>
    <row r="28" spans="1:9" x14ac:dyDescent="0.25">
      <c r="A28" s="9" t="s">
        <v>299</v>
      </c>
      <c r="B28" s="9" t="s">
        <v>48</v>
      </c>
      <c r="C28" s="9" t="s">
        <v>300</v>
      </c>
      <c r="D28" s="9" t="s">
        <v>301</v>
      </c>
      <c r="E28" s="9" t="s">
        <v>302</v>
      </c>
      <c r="F28" s="9" t="s">
        <v>303</v>
      </c>
      <c r="G28" s="9"/>
      <c r="H28" s="9" t="s">
        <v>38</v>
      </c>
      <c r="I28" s="9" t="s">
        <v>82</v>
      </c>
    </row>
    <row r="29" spans="1:9" ht="30" x14ac:dyDescent="0.25">
      <c r="A29" s="6" t="s">
        <v>304</v>
      </c>
      <c r="B29" s="6" t="s">
        <v>305</v>
      </c>
      <c r="C29" s="6" t="s">
        <v>306</v>
      </c>
      <c r="D29" s="6" t="s">
        <v>307</v>
      </c>
      <c r="E29" s="6" t="s">
        <v>308</v>
      </c>
      <c r="F29" s="6" t="s">
        <v>309</v>
      </c>
      <c r="G29" s="6"/>
      <c r="H29" s="6" t="s">
        <v>38</v>
      </c>
      <c r="I29" s="6" t="s">
        <v>82</v>
      </c>
    </row>
    <row r="30" spans="1:9" x14ac:dyDescent="0.25">
      <c r="A30" s="9" t="s">
        <v>310</v>
      </c>
      <c r="B30" s="9" t="s">
        <v>305</v>
      </c>
      <c r="C30" s="9" t="s">
        <v>311</v>
      </c>
      <c r="D30" s="9" t="s">
        <v>312</v>
      </c>
      <c r="E30" s="9" t="s">
        <v>313</v>
      </c>
      <c r="F30" s="9" t="s">
        <v>314</v>
      </c>
      <c r="G30" s="9"/>
      <c r="H30" s="9" t="s">
        <v>36</v>
      </c>
      <c r="I30" s="9" t="s">
        <v>82</v>
      </c>
    </row>
    <row r="31" spans="1:9" ht="30" x14ac:dyDescent="0.25">
      <c r="A31" s="6" t="s">
        <v>315</v>
      </c>
      <c r="B31" s="6" t="s">
        <v>305</v>
      </c>
      <c r="C31" s="6" t="s">
        <v>316</v>
      </c>
      <c r="D31" s="6" t="s">
        <v>317</v>
      </c>
      <c r="E31" s="6" t="s">
        <v>318</v>
      </c>
      <c r="F31" s="6" t="s">
        <v>319</v>
      </c>
      <c r="G31" s="6"/>
      <c r="H31" s="6" t="s">
        <v>38</v>
      </c>
      <c r="I31" s="6" t="s">
        <v>82</v>
      </c>
    </row>
    <row r="32" spans="1:9" ht="30" x14ac:dyDescent="0.25">
      <c r="A32" s="9" t="s">
        <v>320</v>
      </c>
      <c r="B32" s="9" t="s">
        <v>321</v>
      </c>
      <c r="C32" s="9" t="s">
        <v>322</v>
      </c>
      <c r="D32" s="9" t="s">
        <v>323</v>
      </c>
      <c r="E32" s="9" t="s">
        <v>324</v>
      </c>
      <c r="F32" s="9" t="s">
        <v>325</v>
      </c>
      <c r="G32" s="9"/>
      <c r="H32" s="9" t="s">
        <v>36</v>
      </c>
      <c r="I32" s="9" t="s">
        <v>82</v>
      </c>
    </row>
    <row r="33" spans="1:9" x14ac:dyDescent="0.25">
      <c r="A33" s="6" t="s">
        <v>326</v>
      </c>
      <c r="B33" s="6" t="s">
        <v>321</v>
      </c>
      <c r="C33" s="6" t="s">
        <v>327</v>
      </c>
      <c r="D33" s="6" t="s">
        <v>328</v>
      </c>
      <c r="E33" s="6" t="s">
        <v>329</v>
      </c>
      <c r="F33" s="6" t="s">
        <v>330</v>
      </c>
      <c r="G33" s="6"/>
      <c r="H33" s="6" t="s">
        <v>38</v>
      </c>
      <c r="I33" s="6" t="s">
        <v>82</v>
      </c>
    </row>
    <row r="34" spans="1:9" ht="30" x14ac:dyDescent="0.25">
      <c r="A34" s="9" t="s">
        <v>331</v>
      </c>
      <c r="B34" s="9" t="s">
        <v>321</v>
      </c>
      <c r="C34" s="9" t="s">
        <v>332</v>
      </c>
      <c r="D34" s="9" t="s">
        <v>333</v>
      </c>
      <c r="E34" s="9" t="s">
        <v>334</v>
      </c>
      <c r="F34" s="9" t="s">
        <v>335</v>
      </c>
      <c r="G34" s="9"/>
      <c r="H34" s="9" t="s">
        <v>38</v>
      </c>
      <c r="I34" s="9" t="s">
        <v>82</v>
      </c>
    </row>
    <row r="35" spans="1:9" x14ac:dyDescent="0.25">
      <c r="A35" s="6" t="s">
        <v>336</v>
      </c>
      <c r="B35" s="6" t="s">
        <v>337</v>
      </c>
      <c r="C35" s="6" t="s">
        <v>338</v>
      </c>
      <c r="D35" s="6" t="s">
        <v>339</v>
      </c>
      <c r="E35" s="6" t="s">
        <v>340</v>
      </c>
      <c r="F35" s="6" t="s">
        <v>341</v>
      </c>
      <c r="G35" s="6"/>
      <c r="H35" s="6" t="s">
        <v>38</v>
      </c>
      <c r="I35" s="6" t="s">
        <v>82</v>
      </c>
    </row>
    <row r="36" spans="1:9" ht="30" x14ac:dyDescent="0.25">
      <c r="A36" s="9" t="s">
        <v>342</v>
      </c>
      <c r="B36" s="9" t="s">
        <v>337</v>
      </c>
      <c r="C36" s="9" t="s">
        <v>343</v>
      </c>
      <c r="D36" s="9" t="s">
        <v>344</v>
      </c>
      <c r="E36" s="9" t="s">
        <v>345</v>
      </c>
      <c r="F36" s="9" t="s">
        <v>346</v>
      </c>
      <c r="G36" s="9"/>
      <c r="H36" s="9" t="s">
        <v>38</v>
      </c>
      <c r="I36" s="9" t="s">
        <v>82</v>
      </c>
    </row>
    <row r="37" spans="1:9" ht="30" x14ac:dyDescent="0.25">
      <c r="A37" s="6" t="s">
        <v>347</v>
      </c>
      <c r="B37" s="6" t="s">
        <v>337</v>
      </c>
      <c r="C37" s="6" t="s">
        <v>348</v>
      </c>
      <c r="D37" s="6" t="s">
        <v>349</v>
      </c>
      <c r="E37" s="6" t="s">
        <v>350</v>
      </c>
      <c r="F37" s="6" t="s">
        <v>351</v>
      </c>
      <c r="G37" s="6"/>
      <c r="H37" s="6" t="s">
        <v>38</v>
      </c>
      <c r="I37" s="6" t="s">
        <v>82</v>
      </c>
    </row>
    <row r="38" spans="1:9" x14ac:dyDescent="0.25">
      <c r="A38" s="9" t="s">
        <v>352</v>
      </c>
      <c r="B38" s="9" t="s">
        <v>337</v>
      </c>
      <c r="C38" s="9" t="s">
        <v>353</v>
      </c>
      <c r="D38" s="9" t="s">
        <v>354</v>
      </c>
      <c r="E38" s="9" t="s">
        <v>355</v>
      </c>
      <c r="F38" s="9" t="s">
        <v>356</v>
      </c>
      <c r="G38" s="9"/>
      <c r="H38" s="9" t="s">
        <v>38</v>
      </c>
      <c r="I38" s="9" t="s">
        <v>82</v>
      </c>
    </row>
    <row r="39" spans="1:9" x14ac:dyDescent="0.25">
      <c r="A39" s="6" t="s">
        <v>357</v>
      </c>
      <c r="B39" s="6" t="s">
        <v>337</v>
      </c>
      <c r="C39" s="6" t="s">
        <v>358</v>
      </c>
      <c r="D39" s="6" t="s">
        <v>359</v>
      </c>
      <c r="E39" s="6" t="s">
        <v>360</v>
      </c>
      <c r="F39" s="6" t="s">
        <v>361</v>
      </c>
      <c r="G39" s="6"/>
      <c r="H39" s="6" t="s">
        <v>38</v>
      </c>
      <c r="I39" s="6" t="s">
        <v>82</v>
      </c>
    </row>
    <row r="40" spans="1:9" ht="30" x14ac:dyDescent="0.25">
      <c r="A40" s="9" t="s">
        <v>362</v>
      </c>
      <c r="B40" s="9" t="s">
        <v>363</v>
      </c>
      <c r="C40" s="9" t="s">
        <v>364</v>
      </c>
      <c r="D40" s="9" t="s">
        <v>365</v>
      </c>
      <c r="E40" s="9" t="s">
        <v>366</v>
      </c>
      <c r="F40" s="9" t="s">
        <v>367</v>
      </c>
      <c r="G40" s="9"/>
      <c r="H40" s="9" t="s">
        <v>38</v>
      </c>
      <c r="I40" s="9" t="s">
        <v>82</v>
      </c>
    </row>
    <row r="41" spans="1:9" ht="30" x14ac:dyDescent="0.25">
      <c r="A41" s="6" t="s">
        <v>368</v>
      </c>
      <c r="B41" s="6" t="s">
        <v>369</v>
      </c>
      <c r="C41" s="6" t="s">
        <v>370</v>
      </c>
      <c r="D41" s="6" t="s">
        <v>371</v>
      </c>
      <c r="E41" s="6" t="s">
        <v>372</v>
      </c>
      <c r="F41" s="6" t="s">
        <v>373</v>
      </c>
      <c r="G41" s="6"/>
      <c r="H41" s="6" t="s">
        <v>38</v>
      </c>
      <c r="I41" s="6" t="s">
        <v>82</v>
      </c>
    </row>
    <row r="42" spans="1:9" x14ac:dyDescent="0.25">
      <c r="A42" s="9" t="s">
        <v>374</v>
      </c>
      <c r="B42" s="9" t="s">
        <v>375</v>
      </c>
      <c r="C42" s="9" t="s">
        <v>376</v>
      </c>
      <c r="D42" s="9" t="s">
        <v>377</v>
      </c>
      <c r="E42" s="9" t="s">
        <v>378</v>
      </c>
      <c r="F42" s="9" t="s">
        <v>379</v>
      </c>
      <c r="G42" s="9"/>
      <c r="H42" s="9" t="s">
        <v>38</v>
      </c>
      <c r="I42" s="9" t="s">
        <v>82</v>
      </c>
    </row>
    <row r="43" spans="1:9" ht="30" x14ac:dyDescent="0.25">
      <c r="A43" s="6" t="s">
        <v>380</v>
      </c>
      <c r="B43" s="6" t="s">
        <v>381</v>
      </c>
      <c r="C43" s="6" t="s">
        <v>382</v>
      </c>
      <c r="D43" s="6" t="s">
        <v>383</v>
      </c>
      <c r="E43" s="6" t="s">
        <v>384</v>
      </c>
      <c r="F43" s="6" t="s">
        <v>385</v>
      </c>
      <c r="G43" s="6"/>
      <c r="H43" s="6" t="s">
        <v>38</v>
      </c>
      <c r="I43" s="6" t="s">
        <v>82</v>
      </c>
    </row>
    <row r="44" spans="1:9" ht="30" x14ac:dyDescent="0.25">
      <c r="A44" s="9" t="s">
        <v>386</v>
      </c>
      <c r="B44" s="9" t="s">
        <v>387</v>
      </c>
      <c r="C44" s="9" t="s">
        <v>388</v>
      </c>
      <c r="D44" s="9" t="s">
        <v>389</v>
      </c>
      <c r="E44" s="9" t="s">
        <v>390</v>
      </c>
      <c r="F44" s="9" t="s">
        <v>391</v>
      </c>
      <c r="G44" s="9"/>
      <c r="H44" s="9" t="s">
        <v>38</v>
      </c>
      <c r="I44" s="9" t="s">
        <v>82</v>
      </c>
    </row>
    <row r="45" spans="1:9" ht="30" x14ac:dyDescent="0.25">
      <c r="A45" s="6" t="s">
        <v>392</v>
      </c>
      <c r="B45" s="6" t="s">
        <v>393</v>
      </c>
      <c r="C45" s="6" t="s">
        <v>394</v>
      </c>
      <c r="D45" s="6" t="s">
        <v>395</v>
      </c>
      <c r="E45" s="6" t="s">
        <v>396</v>
      </c>
      <c r="F45" s="6" t="s">
        <v>397</v>
      </c>
      <c r="G45" s="6"/>
      <c r="H45" s="6" t="s">
        <v>38</v>
      </c>
      <c r="I45" s="6" t="s">
        <v>82</v>
      </c>
    </row>
  </sheetData>
  <mergeCells count="1">
    <mergeCell ref="A1:I1"/>
  </mergeCells>
  <conditionalFormatting sqref="H4:H45">
    <cfRule type="expression" dxfId="2" priority="1">
      <formula>H4="Passed"</formula>
    </cfRule>
    <cfRule type="expression" dxfId="1" priority="2">
      <formula>H4="Failed"</formula>
    </cfRule>
    <cfRule type="expression" dxfId="0" priority="3">
      <formula>H4="Blocked"</formula>
    </cfRule>
  </conditionalFormatting>
  <dataValidations count="2">
    <dataValidation type="list" sqref="H4:H45" xr:uid="{00000000-0002-0000-0300-000000000000}">
      <formula1>"Not Run,Passed,Failed,Blocked,Skipped"</formula1>
    </dataValidation>
    <dataValidation type="list" allowBlank="1" sqref="I4:I45" xr:uid="{00000000-0002-0000-0300-000001000000}">
      <formula1>"Critical,High,Medium,Low"</formula1>
    </dataValidation>
  </dataValidations>
  <pageMargins left="0.75" right="0.75" top="1" bottom="1" header="0.5" footer="0.5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showGridLines="0" workbookViewId="0">
      <selection sqref="A1:F1"/>
    </sheetView>
  </sheetViews>
  <sheetFormatPr defaultRowHeight="15" x14ac:dyDescent="0.25"/>
  <cols>
    <col min="1" max="1" width="24" customWidth="1"/>
    <col min="2" max="6" width="22" customWidth="1"/>
  </cols>
  <sheetData>
    <row r="1" spans="1:6" ht="38.1" customHeight="1" x14ac:dyDescent="0.25">
      <c r="A1" s="13" t="s">
        <v>0</v>
      </c>
      <c r="B1" s="12"/>
      <c r="C1" s="12"/>
      <c r="D1" s="12"/>
      <c r="E1" s="12"/>
      <c r="F1" s="12"/>
    </row>
    <row r="3" spans="1:6" ht="33.950000000000003" customHeight="1" x14ac:dyDescent="0.25">
      <c r="A3" s="5" t="s">
        <v>1</v>
      </c>
      <c r="B3" s="11" t="s">
        <v>2</v>
      </c>
      <c r="C3" s="12"/>
      <c r="D3" s="12"/>
      <c r="E3" s="12"/>
      <c r="F3" s="12"/>
    </row>
    <row r="4" spans="1:6" ht="33.950000000000003" customHeight="1" x14ac:dyDescent="0.25">
      <c r="A4" s="5" t="s">
        <v>3</v>
      </c>
      <c r="B4" s="11" t="s">
        <v>4</v>
      </c>
      <c r="C4" s="12"/>
      <c r="D4" s="12"/>
      <c r="E4" s="12"/>
      <c r="F4" s="12"/>
    </row>
    <row r="5" spans="1:6" ht="33.950000000000003" customHeight="1" x14ac:dyDescent="0.25">
      <c r="A5" s="5" t="s">
        <v>5</v>
      </c>
      <c r="B5" s="11" t="s">
        <v>6</v>
      </c>
      <c r="C5" s="12"/>
      <c r="D5" s="12"/>
      <c r="E5" s="12"/>
      <c r="F5" s="12"/>
    </row>
    <row r="6" spans="1:6" ht="33.950000000000003" customHeight="1" x14ac:dyDescent="0.25">
      <c r="A6" s="5" t="s">
        <v>7</v>
      </c>
      <c r="B6" s="11" t="s">
        <v>8</v>
      </c>
      <c r="C6" s="12"/>
      <c r="D6" s="12"/>
      <c r="E6" s="12"/>
      <c r="F6" s="12"/>
    </row>
    <row r="7" spans="1:6" ht="33.950000000000003" customHeight="1" x14ac:dyDescent="0.25">
      <c r="A7" s="5" t="s">
        <v>9</v>
      </c>
      <c r="B7" s="11" t="s">
        <v>10</v>
      </c>
      <c r="C7" s="12"/>
      <c r="D7" s="12"/>
      <c r="E7" s="12"/>
      <c r="F7" s="12"/>
    </row>
    <row r="8" spans="1:6" ht="33.950000000000003" customHeight="1" x14ac:dyDescent="0.25">
      <c r="A8" s="5" t="s">
        <v>11</v>
      </c>
      <c r="B8" s="11" t="s">
        <v>12</v>
      </c>
      <c r="C8" s="12"/>
      <c r="D8" s="12"/>
      <c r="E8" s="12"/>
      <c r="F8" s="12"/>
    </row>
    <row r="9" spans="1:6" ht="33.950000000000003" customHeight="1" x14ac:dyDescent="0.25">
      <c r="A9" s="5" t="s">
        <v>13</v>
      </c>
      <c r="B9" s="11" t="s">
        <v>14</v>
      </c>
      <c r="C9" s="12"/>
      <c r="D9" s="12"/>
      <c r="E9" s="12"/>
      <c r="F9" s="12"/>
    </row>
    <row r="10" spans="1:6" ht="33.950000000000003" customHeight="1" x14ac:dyDescent="0.25">
      <c r="A10" s="5" t="s">
        <v>15</v>
      </c>
      <c r="B10" s="11" t="s">
        <v>16</v>
      </c>
      <c r="C10" s="12"/>
      <c r="D10" s="12"/>
      <c r="E10" s="12"/>
      <c r="F10" s="12"/>
    </row>
    <row r="11" spans="1:6" ht="33.950000000000003" customHeight="1" x14ac:dyDescent="0.25">
      <c r="A11" s="5" t="s">
        <v>17</v>
      </c>
      <c r="B11" s="11" t="s">
        <v>18</v>
      </c>
      <c r="C11" s="12"/>
      <c r="D11" s="12"/>
      <c r="E11" s="12"/>
      <c r="F11" s="12"/>
    </row>
    <row r="12" spans="1:6" ht="33.950000000000003" customHeight="1" x14ac:dyDescent="0.25">
      <c r="A12" s="5" t="s">
        <v>19</v>
      </c>
      <c r="B12" s="11" t="s">
        <v>20</v>
      </c>
      <c r="C12" s="12"/>
      <c r="D12" s="12"/>
      <c r="E12" s="12"/>
      <c r="F12" s="12"/>
    </row>
    <row r="13" spans="1:6" ht="33.950000000000003" customHeight="1" x14ac:dyDescent="0.25">
      <c r="A13" s="5" t="s">
        <v>21</v>
      </c>
      <c r="B13" s="11" t="s">
        <v>22</v>
      </c>
      <c r="C13" s="12"/>
      <c r="D13" s="12"/>
      <c r="E13" s="12"/>
      <c r="F13" s="12"/>
    </row>
  </sheetData>
  <mergeCells count="12">
    <mergeCell ref="B13:F13"/>
    <mergeCell ref="A1:F1"/>
    <mergeCell ref="B11:F11"/>
    <mergeCell ref="B3:F3"/>
    <mergeCell ref="B5:F5"/>
    <mergeCell ref="B8:F8"/>
    <mergeCell ref="B9:F9"/>
    <mergeCell ref="B4:F4"/>
    <mergeCell ref="B12:F12"/>
    <mergeCell ref="B7:F7"/>
    <mergeCell ref="B6:F6"/>
    <mergeCell ref="B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showGridLines="0"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110" customWidth="1"/>
  </cols>
  <sheetData>
    <row r="1" spans="1:2" ht="26.1" customHeight="1" x14ac:dyDescent="0.25">
      <c r="A1" s="2" t="s">
        <v>398</v>
      </c>
      <c r="B1" s="2"/>
    </row>
    <row r="2" spans="1:2" ht="36" customHeight="1" x14ac:dyDescent="0.25">
      <c r="A2" s="3" t="s">
        <v>1</v>
      </c>
      <c r="B2" s="4" t="s">
        <v>399</v>
      </c>
    </row>
    <row r="3" spans="1:2" ht="36" customHeight="1" x14ac:dyDescent="0.25">
      <c r="A3" s="3" t="s">
        <v>400</v>
      </c>
      <c r="B3" s="4" t="s">
        <v>401</v>
      </c>
    </row>
    <row r="4" spans="1:2" ht="36" customHeight="1" x14ac:dyDescent="0.25">
      <c r="A4" s="3" t="s">
        <v>36</v>
      </c>
      <c r="B4" s="4" t="s">
        <v>402</v>
      </c>
    </row>
    <row r="5" spans="1:2" ht="36" customHeight="1" x14ac:dyDescent="0.25">
      <c r="A5" s="3" t="s">
        <v>403</v>
      </c>
      <c r="B5" s="4" t="s">
        <v>404</v>
      </c>
    </row>
    <row r="6" spans="1:2" ht="36" customHeight="1" x14ac:dyDescent="0.25">
      <c r="A6" s="3" t="s">
        <v>405</v>
      </c>
      <c r="B6" s="4" t="s">
        <v>406</v>
      </c>
    </row>
    <row r="7" spans="1:2" ht="36" customHeight="1" x14ac:dyDescent="0.25">
      <c r="A7" s="3" t="s">
        <v>407</v>
      </c>
      <c r="B7" s="4" t="s">
        <v>408</v>
      </c>
    </row>
    <row r="8" spans="1:2" ht="36" customHeight="1" x14ac:dyDescent="0.25">
      <c r="A8" s="3" t="s">
        <v>409</v>
      </c>
      <c r="B8" s="4" t="s">
        <v>410</v>
      </c>
    </row>
    <row r="9" spans="1:2" ht="36" customHeight="1" x14ac:dyDescent="0.25">
      <c r="A9" s="3" t="s">
        <v>411</v>
      </c>
      <c r="B9" s="4" t="s">
        <v>412</v>
      </c>
    </row>
    <row r="10" spans="1:2" ht="36" customHeight="1" x14ac:dyDescent="0.25">
      <c r="A10" s="3" t="s">
        <v>413</v>
      </c>
      <c r="B10" s="4" t="s">
        <v>414</v>
      </c>
    </row>
    <row r="11" spans="1:2" ht="36" customHeight="1" x14ac:dyDescent="0.25">
      <c r="A11" s="3" t="s">
        <v>375</v>
      </c>
      <c r="B11" s="4" t="s">
        <v>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Dashboard</vt:lpstr>
      <vt:lpstr>API Test Log</vt:lpstr>
      <vt:lpstr>Test Cases</vt:lpstr>
      <vt:lpstr>Read Me</vt:lpstr>
      <vt:lpstr>Testing Guide</vt:lpstr>
      <vt:lpstr>'API Test Log'!Print_Area</vt:lpstr>
      <vt:lpstr>'API Test Log'!Print_Titles</vt:lpstr>
      <vt:lpstr>'Test Cases'!Print_Titles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collegeworld2025@outlook.com</dc:creator>
  <cp:lastModifiedBy>collegeworld2025@outlook.com</cp:lastModifiedBy>
  <dcterms:created xsi:type="dcterms:W3CDTF">2026-10-09T16:06:40Z</dcterms:created>
  <dcterms:modified xsi:type="dcterms:W3CDTF">2026-10-09T17:34:05Z</dcterms:modified>
</cp:coreProperties>
</file>